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116556\Downloads\"/>
    </mc:Choice>
  </mc:AlternateContent>
  <xr:revisionPtr revIDLastSave="0" documentId="13_ncr:1_{E9829F41-199F-42A2-9E38-3023984296A1}" xr6:coauthVersionLast="47" xr6:coauthVersionMax="47" xr10:uidLastSave="{00000000-0000-0000-0000-000000000000}"/>
  <bookViews>
    <workbookView xWindow="-120" yWindow="-120" windowWidth="29040" windowHeight="15720" xr2:uid="{00000000-000D-0000-FFFF-FFFF00000000}"/>
  </bookViews>
  <sheets>
    <sheet name="FY 2024 IV-E FC" sheetId="1" r:id="rId1"/>
  </sheets>
  <externalReferences>
    <externalReference r:id="rId2"/>
    <externalReference r:id="rId3"/>
    <externalReference r:id="rId4"/>
  </externalReferences>
  <definedNames>
    <definedName name="\c">'[1]FY 1987'!#REF!</definedName>
    <definedName name="\cc">'[1]FY 1987'!#REF!</definedName>
    <definedName name="\d">'[2]FY 1990'!#REF!</definedName>
    <definedName name="\l">'[2]FY 1990'!#REF!</definedName>
    <definedName name="\v">'[2]FY 1990'!#REF!</definedName>
    <definedName name="cc">'[1]FY 1987'!#REF!</definedName>
    <definedName name="dd">'[2]FY 1990'!#REF!</definedName>
    <definedName name="_xlnm.Print_Area" localSheetId="0">'FY 2024 IV-E FC'!$A$2:$A$86</definedName>
    <definedName name="_xlnm.Print_Titles" localSheetId="0">'FY 2024 IV-E FC'!$A:$A,'FY 2024 IV-E FC'!$4:$7</definedName>
    <definedName name="Recover">[3]Macro1!$A$271</definedName>
    <definedName name="TableName">"Dummy"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X2" i="1" l="1"/>
  <c r="AK2" i="1"/>
  <c r="AB2" i="1"/>
  <c r="P2" i="1"/>
  <c r="BE1" i="1" l="1"/>
  <c r="AS1" i="1"/>
  <c r="AI1" i="1"/>
  <c r="X1" i="1"/>
  <c r="M1" i="1"/>
</calcChain>
</file>

<file path=xl/sharedStrings.xml><?xml version="1.0" encoding="utf-8"?>
<sst xmlns="http://schemas.openxmlformats.org/spreadsheetml/2006/main" count="248" uniqueCount="215">
  <si>
    <t>Alaska</t>
  </si>
  <si>
    <t>Connecticut</t>
  </si>
  <si>
    <t>Delaware</t>
  </si>
  <si>
    <t>Georgia</t>
  </si>
  <si>
    <t>Idaho</t>
  </si>
  <si>
    <t>Iowa</t>
  </si>
  <si>
    <t>Kansas</t>
  </si>
  <si>
    <t>Louisiana</t>
  </si>
  <si>
    <t>Michigan</t>
  </si>
  <si>
    <t>Minnesota</t>
  </si>
  <si>
    <t>Mississippi</t>
  </si>
  <si>
    <t>Missouri</t>
  </si>
  <si>
    <t>Montana</t>
  </si>
  <si>
    <t>New Jersey</t>
  </si>
  <si>
    <t>New Mexico</t>
  </si>
  <si>
    <t>North Carolina</t>
  </si>
  <si>
    <t>North Dakota</t>
  </si>
  <si>
    <t>Puerto Rico</t>
  </si>
  <si>
    <t>Rhode Island</t>
  </si>
  <si>
    <t>South Carolina</t>
  </si>
  <si>
    <t>South Dakota</t>
  </si>
  <si>
    <t>Texas</t>
  </si>
  <si>
    <t>Vermont</t>
  </si>
  <si>
    <t>Virgin Islands</t>
  </si>
  <si>
    <t>Virginia</t>
  </si>
  <si>
    <t>Wyoming</t>
  </si>
  <si>
    <t>State Total</t>
  </si>
  <si>
    <t>Navajo Nation</t>
  </si>
  <si>
    <t>Tribal Total</t>
  </si>
  <si>
    <t>National Total</t>
  </si>
  <si>
    <t>Eastern Band of Cherokee Indians</t>
  </si>
  <si>
    <t>Pascua Yaqui</t>
  </si>
  <si>
    <t>Salt River Pima-Maricopa Indian Community</t>
  </si>
  <si>
    <t>Penobscot Nation</t>
  </si>
  <si>
    <t>*3- Calculated percentage of reported title IV-E eligible participants of all children (title IV-E and non-IV-E) in identified foster care category for current quarters in the FY.</t>
  </si>
  <si>
    <t>*1- Reported data is sourced from Form CB-496 Part 1 as follows: 1. Total Computable Claims - Current Quarter (Col. A) + Prior Quarter Adjustments (Col. C); 2. Federal Share Claims -  Current Quarter (Col. B) + Prior Quarter Adjustments (Col. D); and 3. Caseload - Average of the four quarterly reported Average monthly number of children served (current quarter).</t>
  </si>
  <si>
    <t>States</t>
  </si>
  <si>
    <t>Title IV-E Agencies</t>
  </si>
  <si>
    <t>Tribes</t>
  </si>
  <si>
    <t>Cherokee Nation of Oklahoma</t>
  </si>
  <si>
    <t>Maine</t>
  </si>
  <si>
    <t>Mashpee Wampanoag Tribe</t>
  </si>
  <si>
    <t>Massachusetts</t>
  </si>
  <si>
    <t>Tolowa Dee-ni Nation</t>
  </si>
  <si>
    <t>Calculation</t>
  </si>
  <si>
    <t>Pt. 3, Lns. 1a+5a</t>
  </si>
  <si>
    <t>Pt. 3, Lns. 2a-b,6a-c</t>
  </si>
  <si>
    <t>Pt. 1, Line 17 Gross</t>
  </si>
  <si>
    <t>Pt. 1, Line 17 FFP</t>
  </si>
  <si>
    <t xml:space="preserve">Regular Program </t>
  </si>
  <si>
    <t>Caseload</t>
  </si>
  <si>
    <t>Other Administration</t>
  </si>
  <si>
    <t>Regular Program</t>
  </si>
  <si>
    <t>Title IV-E Training</t>
  </si>
  <si>
    <t>Regular Prog.</t>
  </si>
  <si>
    <t>Pt. 1, Line 3</t>
  </si>
  <si>
    <t>Pt. 1, Line 6</t>
  </si>
  <si>
    <t>Pt. 1, Line 7</t>
  </si>
  <si>
    <t xml:space="preserve">Pt. 1, Line 8 </t>
  </si>
  <si>
    <t>Pt. 1, Line 50</t>
  </si>
  <si>
    <t>Pt. 1, Line 52</t>
  </si>
  <si>
    <t>Pt. 1, Lns. 13a-14b</t>
  </si>
  <si>
    <t>Regular Program &amp; Demo. Proj.</t>
  </si>
  <si>
    <t>Pt. 1, Lns. 11a-b</t>
  </si>
  <si>
    <t>Pt. 1, Lns. 12a-b</t>
  </si>
  <si>
    <t>Pt. 1, Line 1d</t>
  </si>
  <si>
    <t>Pt. 1, Line 2b</t>
  </si>
  <si>
    <t>Pt. 1, Line 2a</t>
  </si>
  <si>
    <t>Child Care Institution (CCI)</t>
  </si>
  <si>
    <t>Funding Category Descriptions</t>
  </si>
  <si>
    <t>Substance Abuse Treatment (SAT)</t>
  </si>
  <si>
    <t>Other Qualifying Placements (OQP)</t>
  </si>
  <si>
    <t>Credits</t>
  </si>
  <si>
    <t>Tribal/State Agreement Payments at the Tribal FMAP Rate - Title IV-E FCMPs</t>
  </si>
  <si>
    <t>Average Monthly Number of Children Served (Caseload)</t>
  </si>
  <si>
    <t>Pt. 1, Lns. 48a</t>
  </si>
  <si>
    <t>Title IV-E Foster Care In-Placement (In-Plac.) Administration</t>
  </si>
  <si>
    <t>Agency Payments - Title IV-E Foster Care Maintenance Payments (FCMPs) at the Federal Medical Assistance Percentage (FMAP) by Placement Setting Including Demonstration Project Operational (Demo. Proj. Oper.) and Post-Demonstration Costs</t>
  </si>
  <si>
    <t>Title IV-E CCWIS/Non-CCWIS Costs</t>
  </si>
  <si>
    <t>Pt. 1, Line 10b</t>
  </si>
  <si>
    <t>Pt. 1, Lns. 48b</t>
  </si>
  <si>
    <t>Pt. 1, Lns. 48c</t>
  </si>
  <si>
    <t>Pt. 1, Lns. 48d</t>
  </si>
  <si>
    <t>Pt. 1, Line 49a</t>
  </si>
  <si>
    <t>Average Monthly Number of Children (Caseload)</t>
  </si>
  <si>
    <t>Pt. 1, Line 49b</t>
  </si>
  <si>
    <t>Ln. 49a/Ln. 50</t>
  </si>
  <si>
    <t>Agency Payments - Subtotals</t>
  </si>
  <si>
    <t>Pt. 1, Line 10c</t>
  </si>
  <si>
    <t>Calculation (With Pt. 1 Line 3 Credits)</t>
  </si>
  <si>
    <t>Lns. 48a - 48d/Ln. 50</t>
  </si>
  <si>
    <t>Total Category Claims</t>
  </si>
  <si>
    <t>Title IV-E Candidate Pre-Placement (Pre-Plac.) Activities Administration</t>
  </si>
  <si>
    <t>Pt. 1, Line 51a</t>
  </si>
  <si>
    <t>Pt. 1, Line 51b</t>
  </si>
  <si>
    <t>Demo. Proj. Oper. Costs</t>
  </si>
  <si>
    <t>Tribal/State Agreements - Subtotals</t>
  </si>
  <si>
    <t>Total Net Fundable Category Claims</t>
  </si>
  <si>
    <t>Demo. Proj. Funding Categories</t>
  </si>
  <si>
    <t>Foster Family Home (FFH)*8</t>
  </si>
  <si>
    <t>Foster Family Homes (FFH)*8</t>
  </si>
  <si>
    <t>Alabama</t>
  </si>
  <si>
    <t>New Hampshire</t>
  </si>
  <si>
    <t>Keweenaw Bay Indian Community</t>
  </si>
  <si>
    <t>Form CB-496 Part (Pt.) # &amp; Line (Ln.) #</t>
  </si>
  <si>
    <t>*2- Amount of FCMPs after deduction of current quarter child support collections made on behalf of title IV-E eligible children in foster care.</t>
  </si>
  <si>
    <t>Percentage of National Total Claims</t>
  </si>
  <si>
    <t>Calculation: Sum of Lns. 48a-48d</t>
  </si>
  <si>
    <t xml:space="preserve">Demonstration  Project - Other Than Title IV-E Funding Category Costs </t>
  </si>
  <si>
    <t xml:space="preserve">*4- "Demonstration Projects" claims are reported by title IV-E agencies with an approved section 1130 waiver demonstration project (in part or all of the jurisdiction) in CB-496 Part 3 in one or more traditional title IV-E Foster Care funding categories, as project interventions and other waiver based costs or as project evaluation costs.  The fundable total Demonstration Costs is also shown on Part 1, Line 16a.  All such demonstration projects terminated no later than 09/30/2019.  However, some prior quarter adjustment claims continue to be reported for these projects. </t>
  </si>
  <si>
    <t>Percentage Change from FY 2023 National Total Claims</t>
  </si>
  <si>
    <t>Total Title IV-E Foster Care Claims &amp; Caseload</t>
  </si>
  <si>
    <t>Calculation: Sum of Pt. 1, Lns. 49a + 51a</t>
  </si>
  <si>
    <t>All Agency and Tribal/State Agreement Payments - Title IV-E FCMPs at the Applicable State or Tribal FMAP Rate</t>
  </si>
  <si>
    <t>Total FCMP Category Claims</t>
  </si>
  <si>
    <t>Kenaitze Indian Tribe</t>
  </si>
  <si>
    <t>Data Reported As of: February 18, 2026</t>
  </si>
  <si>
    <t>Pt. 1, Ln. 1b</t>
  </si>
  <si>
    <t xml:space="preserve">Pt. 1, Ln. 1a </t>
  </si>
  <si>
    <t>Pt. 1, Ln. 1a</t>
  </si>
  <si>
    <t xml:space="preserve">Pt. 1, Ln. 1c </t>
  </si>
  <si>
    <t>Pt. 1, Ln. 5</t>
  </si>
  <si>
    <t>Calculation Sum of Lns. 5-8</t>
  </si>
  <si>
    <t>Pt. 1, Ln. 10a</t>
  </si>
  <si>
    <t>Pt. 1, Ln. 15</t>
  </si>
  <si>
    <t>Arizona</t>
  </si>
  <si>
    <t>Arkansas</t>
  </si>
  <si>
    <t>California</t>
  </si>
  <si>
    <t>Colorado</t>
  </si>
  <si>
    <t>District of Columbia</t>
  </si>
  <si>
    <t>Florida</t>
  </si>
  <si>
    <t>Hawaii</t>
  </si>
  <si>
    <t>Illinois</t>
  </si>
  <si>
    <t>Indiana</t>
  </si>
  <si>
    <t>Kentucky</t>
  </si>
  <si>
    <t>Maryland</t>
  </si>
  <si>
    <t>Nebraska</t>
  </si>
  <si>
    <t>Nevada</t>
  </si>
  <si>
    <t>New York</t>
  </si>
  <si>
    <t>Ohio</t>
  </si>
  <si>
    <t>Oklahoma</t>
  </si>
  <si>
    <t>Oregon</t>
  </si>
  <si>
    <t>Pennsylvania</t>
  </si>
  <si>
    <t>Tennessee</t>
  </si>
  <si>
    <t>Utah</t>
  </si>
  <si>
    <t>Washington</t>
  </si>
  <si>
    <t>West Virginia</t>
  </si>
  <si>
    <t>Wisconsin</t>
  </si>
  <si>
    <t>Port Gamble S'Klallam Tribe</t>
  </si>
  <si>
    <t xml:space="preserve"> Fiscal Year (FY) 2024 Title IV-E Foster Care Program Total Computable (TC) and Federal Financial Participation (FFP) Claims and Caseload Data*1</t>
  </si>
  <si>
    <t>*6 - Title IV-E Eligible Proportion of Caseload In Identified Funding Category</t>
  </si>
  <si>
    <t>*5 - Caseload Served In Identified Funding Category</t>
  </si>
  <si>
    <t>*7 - Federal Share of Reported Expenditures</t>
  </si>
  <si>
    <t>*8 - Total Computable Amount of Reported Expenditures</t>
  </si>
  <si>
    <t xml:space="preserve"> Title IV-E FFH FCMP Caseload*5</t>
  </si>
  <si>
    <t>Title IV-E Specified CCI FCMP Caseload*5</t>
  </si>
  <si>
    <t>Title IV-E Non-Specified CCI FCMP Caseload*5</t>
  </si>
  <si>
    <t xml:space="preserve"> Title IV-E SAT Facility FCMP Caseload*5</t>
  </si>
  <si>
    <t>Total Title IV-E FCMP Caseload*5</t>
  </si>
  <si>
    <t>In-Plac. Title IV-E Case Planning &amp; 
Management Caseload*5</t>
  </si>
  <si>
    <t>In-Plac. Title IV-E Legal Representation Caseload*5</t>
  </si>
  <si>
    <t>In-Plac. Total Caseload (Title IV-E &amp; Non-IV-E)*5</t>
  </si>
  <si>
    <t>Pre-Plac. Title IV-E CP&amp;M Caseload*5</t>
  </si>
  <si>
    <t>Pre-Plac. Title IV-E Legal Representation Caseload*5</t>
  </si>
  <si>
    <t>Runaway &amp; Sex Trafficking Prev. Caseload*5</t>
  </si>
  <si>
    <t>Total Caseload, Title IV-E CP&amp;M In-Plac. &amp; Pre-Plac. Administration*5</t>
  </si>
  <si>
    <t>Title IV-E FCMP Participation Rate*3*6</t>
  </si>
  <si>
    <t>In-Plac. Title IV-E Participation          Rate*3*6</t>
  </si>
  <si>
    <t>FFH FCMPs - Federal Financial Participation (FFP)*7</t>
  </si>
  <si>
    <t>Specified Setting CCI FCMPs - FFP*7</t>
  </si>
  <si>
    <t>Non-Specified Setting CCI FCMPs - FFP*7</t>
  </si>
  <si>
    <t>SAT 
Facility FCMPs - FFP*7</t>
  </si>
  <si>
    <t>Title IV-E FCMPs Proj. Oper, Costs - FFP*4*7</t>
  </si>
  <si>
    <t>Child Support Collection Credits  - FFP*7</t>
  </si>
  <si>
    <t>All Placement Settings FCMPs - FFP*7</t>
  </si>
  <si>
    <t>All Placement Settings Net FCMPs - FFP*2*7</t>
  </si>
  <si>
    <t>FFH FCMP Claims - FFP*7</t>
  </si>
  <si>
    <t>OQP FCMP Claims - FFP*7</t>
  </si>
  <si>
    <t>Total Net Title IV-E FCMP Claims - FFP*7</t>
  </si>
  <si>
    <t>In-Plac. Case Planning &amp; Management - FFP*7</t>
  </si>
  <si>
    <t>In-Plac. Eligibility Determinations - FFP*7</t>
  </si>
  <si>
    <t>In-Plac. Provider &amp; Agency Management - FFP*7</t>
  </si>
  <si>
    <t>In-Plac. Legal Representation – Child or Parent - FFP*7</t>
  </si>
  <si>
    <t>In-Placement Total Administration - FFP*7</t>
  </si>
  <si>
    <t>Total Title IV-E     In-Plac. Administration Claims - FFP*7</t>
  </si>
  <si>
    <t>Pre-Plac. - Case Planning and 
Management (CP&amp;M)- FFP*7</t>
  </si>
  <si>
    <t>Pre-Plac. - Legal Representation – Child or Parent - FFP*7</t>
  </si>
  <si>
    <t>Total Pre-Plac. Activities Claims - FFP*7</t>
  </si>
  <si>
    <t>Runaway &amp; Sex Trafficking  Prev. - FFP*7</t>
  </si>
  <si>
    <t>Non-CCWIS Operations &amp; Development - FFP*7</t>
  </si>
  <si>
    <t>CCWIS Operational Costs - FFP*7</t>
  </si>
  <si>
    <t>CCWIS Developmental Costs - FFP*7</t>
  </si>
  <si>
    <t>Total CCWIS &amp; Non-CCWIS Costs - FFP*7</t>
  </si>
  <si>
    <t>Training - Staff, Providers &amp; Prof. Partners  - FFP*7</t>
  </si>
  <si>
    <t>Total Title IV-E Training Claims - FFP*7</t>
  </si>
  <si>
    <t>Project Intervention &amp; Waiver Based Operational Costs - FFP*4*7</t>
  </si>
  <si>
    <t>Total Fundable Non-Title IV-E Category Demo. Proj. Costs - FFP*4*7</t>
  </si>
  <si>
    <t>Total Costs, All Funding Categories - FFP*7</t>
  </si>
  <si>
    <t>FFH FCMPs - Total Computable (TC)*8</t>
  </si>
  <si>
    <t>Specified Setting CCI FCMPs - TC*8</t>
  </si>
  <si>
    <t>Non-Specified Setting CCI FCMPs - TC*8</t>
  </si>
  <si>
    <t xml:space="preserve"> SAT Facility FCMPs - TC*8</t>
  </si>
  <si>
    <t>Title IV-E FCMPs Proj. Oper, Costs - TC*4*8</t>
  </si>
  <si>
    <t>All Placement Settings FCMPs - TC*8</t>
  </si>
  <si>
    <t>FFH FCMP Claims - Total Computable (TC)*8</t>
  </si>
  <si>
    <t>OQP FCMP Claims - TC*8</t>
  </si>
  <si>
    <t>Total Title IV-E FCMP Claims - TC*8</t>
  </si>
  <si>
    <t>Total Title IV-E     In-Plac. Administration Claims - TC*8</t>
  </si>
  <si>
    <t>Total Pre-Plac. Activities Claims - TC*8</t>
  </si>
  <si>
    <t>Runaway &amp; Sex Trafficking  Prev. - TC*8</t>
  </si>
  <si>
    <t>Total CCWIS &amp; Non-CCWIS Costs - TC*8</t>
  </si>
  <si>
    <t>Total Title IV-E Training Claims - TC*8</t>
  </si>
  <si>
    <t>Project Intervention &amp; Waiver Based Operational Costs - TC*4*8</t>
  </si>
  <si>
    <t>Total Fundable Non-Title IV-E Category Demo. Proj. Costs - TC*4*8</t>
  </si>
  <si>
    <t>Total Costs, All Funding Categories - TC*8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</si>
</sst>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
    <numFmt numFmtId="168" formatCode="0.000%"/>
  </numFmts>
  <fonts count="20" x14ac:knownFonts="1">
    <font>
      <sz val="11"/>
      <color theme="1"/>
      <name val="Calibri"/>
      <family val="2"/>
      <scheme val="minor"/>
    </font>
    <font>
      <sz val="11"/>
      <color theme="1"/>
      <name val="Calibri"/>
      <family val="2"/>
      <scheme val="minor"/>
    </font>
    <font>
      <sz val="10"/>
      <color theme="1"/>
      <name val="Tahoma"/>
      <family val="2"/>
    </font>
    <font>
      <sz val="10"/>
      <color theme="1"/>
      <name val="Calibri"/>
      <family val="2"/>
      <scheme val="minor"/>
    </font>
    <font>
      <b/>
      <sz val="9"/>
      <color theme="1"/>
      <name val="Calibri"/>
      <family val="2"/>
      <scheme val="minor"/>
    </font>
    <font>
      <sz val="10"/>
      <color theme="0" tint="-0.249977111117893"/>
      <name val="Calibri"/>
      <family val="2"/>
      <scheme val="minor"/>
    </font>
    <font>
      <b/>
      <sz val="10"/>
      <color theme="1"/>
      <name val="Calibri"/>
      <family val="2"/>
      <scheme val="minor"/>
    </font>
    <font>
      <sz val="9"/>
      <color theme="1"/>
      <name val="Calibri"/>
      <family val="2"/>
      <scheme val="minor"/>
    </font>
    <font>
      <b/>
      <sz val="9.5"/>
      <color theme="1"/>
      <name val="Calibri"/>
      <family val="2"/>
      <scheme val="minor"/>
    </font>
    <font>
      <b/>
      <sz val="11"/>
      <color theme="1"/>
      <name val="Calibri"/>
      <family val="2"/>
      <scheme val="minor"/>
    </font>
    <font>
      <b/>
      <sz val="12"/>
      <color theme="1"/>
      <name val="Calibri"/>
      <family val="2"/>
      <scheme val="minor"/>
    </font>
    <font>
      <b/>
      <sz val="9.5"/>
      <color theme="0" tint="-0.249977111117893"/>
      <name val="Calibri"/>
      <family val="2"/>
      <scheme val="minor"/>
    </font>
    <font>
      <sz val="10"/>
      <color rgb="FFFF0000"/>
      <name val="Calibri"/>
      <family val="2"/>
      <scheme val="minor"/>
    </font>
    <font>
      <b/>
      <sz val="10"/>
      <color rgb="FFFF0000"/>
      <name val="Calibri"/>
      <family val="2"/>
      <scheme val="minor"/>
    </font>
    <font>
      <b/>
      <i/>
      <sz val="10"/>
      <color theme="1"/>
      <name val="Calibri"/>
      <family val="2"/>
      <scheme val="minor"/>
    </font>
    <font>
      <b/>
      <u/>
      <sz val="13.5"/>
      <color theme="1"/>
      <name val="Calibri"/>
      <family val="2"/>
      <scheme val="minor"/>
    </font>
    <font>
      <b/>
      <u/>
      <sz val="12"/>
      <color theme="1"/>
      <name val="Calibri"/>
      <family val="2"/>
      <scheme val="minor"/>
    </font>
    <font>
      <sz val="10"/>
      <name val="Arial"/>
      <family val="2"/>
    </font>
    <font>
      <sz val="8"/>
      <color theme="1"/>
      <name val="Calibri"/>
      <family val="2"/>
      <scheme val="minor"/>
    </font>
    <font>
      <b/>
      <u/>
      <sz val="14.5"/>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1"/>
        <bgColor indexed="64"/>
      </patternFill>
    </fill>
  </fills>
  <borders count="95">
    <border>
      <left/>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ck">
        <color indexed="64"/>
      </left>
      <right/>
      <top/>
      <bottom/>
      <diagonal/>
    </border>
    <border>
      <left style="thick">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right style="thick">
        <color indexed="64"/>
      </right>
      <top/>
      <bottom style="medium">
        <color indexed="64"/>
      </bottom>
      <diagonal/>
    </border>
    <border>
      <left style="thick">
        <color indexed="64"/>
      </left>
      <right/>
      <top style="medium">
        <color indexed="64"/>
      </top>
      <bottom style="thin">
        <color indexed="64"/>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style="thin">
        <color indexed="64"/>
      </bottom>
      <diagonal/>
    </border>
    <border>
      <left style="thick">
        <color indexed="64"/>
      </left>
      <right style="thick">
        <color indexed="64"/>
      </right>
      <top/>
      <bottom style="medium">
        <color indexed="64"/>
      </bottom>
      <diagonal/>
    </border>
    <border>
      <left style="thin">
        <color indexed="64"/>
      </left>
      <right style="thick">
        <color indexed="64"/>
      </right>
      <top style="thin">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medium">
        <color indexed="64"/>
      </bottom>
      <diagonal/>
    </border>
    <border>
      <left style="thick">
        <color indexed="64"/>
      </left>
      <right/>
      <top style="medium">
        <color indexed="64"/>
      </top>
      <bottom/>
      <diagonal/>
    </border>
    <border>
      <left/>
      <right style="thick">
        <color indexed="64"/>
      </right>
      <top/>
      <bottom/>
      <diagonal/>
    </border>
    <border>
      <left style="thick">
        <color indexed="64"/>
      </left>
      <right style="thin">
        <color indexed="64"/>
      </right>
      <top style="medium">
        <color indexed="64"/>
      </top>
      <bottom style="thin">
        <color indexed="64"/>
      </bottom>
      <diagonal/>
    </border>
    <border>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thick">
        <color indexed="64"/>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diagonal/>
    </border>
    <border>
      <left style="thick">
        <color indexed="64"/>
      </left>
      <right style="thin">
        <color indexed="64"/>
      </right>
      <top/>
      <bottom/>
      <diagonal/>
    </border>
    <border>
      <left style="thick">
        <color indexed="64"/>
      </left>
      <right style="thin">
        <color indexed="64"/>
      </right>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top style="thick">
        <color indexed="64"/>
      </top>
      <bottom style="thin">
        <color indexed="64"/>
      </bottom>
      <diagonal/>
    </border>
    <border>
      <left style="thin">
        <color indexed="64"/>
      </left>
      <right style="thick">
        <color indexed="64"/>
      </right>
      <top style="medium">
        <color indexed="64"/>
      </top>
      <bottom style="thin">
        <color indexed="64"/>
      </bottom>
      <diagonal/>
    </border>
    <border>
      <left/>
      <right style="thick">
        <color indexed="64"/>
      </right>
      <top style="medium">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medium">
        <color indexed="64"/>
      </bottom>
      <diagonal/>
    </border>
    <border>
      <left style="thick">
        <color indexed="64"/>
      </left>
      <right style="thick">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ck">
        <color indexed="64"/>
      </left>
      <right/>
      <top/>
      <bottom style="thin">
        <color indexed="64"/>
      </bottom>
      <diagonal/>
    </border>
    <border>
      <left/>
      <right style="thick">
        <color indexed="64"/>
      </right>
      <top/>
      <bottom style="thin">
        <color indexed="64"/>
      </bottom>
      <diagonal/>
    </border>
    <border>
      <left/>
      <right/>
      <top style="medium">
        <color indexed="64"/>
      </top>
      <bottom style="thick">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ck">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top style="thick">
        <color indexed="64"/>
      </top>
      <bottom style="thin">
        <color indexed="64"/>
      </bottom>
      <diagonal/>
    </border>
    <border>
      <left/>
      <right style="medium">
        <color indexed="64"/>
      </right>
      <top style="thick">
        <color indexed="64"/>
      </top>
      <bottom style="thin">
        <color indexed="64"/>
      </bottom>
      <diagonal/>
    </border>
    <border>
      <left/>
      <right style="medium">
        <color indexed="64"/>
      </right>
      <top style="thin">
        <color indexed="64"/>
      </top>
      <bottom style="medium">
        <color indexed="64"/>
      </bottom>
      <diagonal/>
    </border>
  </borders>
  <cellStyleXfs count="8">
    <xf numFmtId="0" fontId="0" fillId="0" borderId="0"/>
    <xf numFmtId="0" fontId="2" fillId="0" borderId="0"/>
    <xf numFmtId="0" fontId="2" fillId="0" borderId="0"/>
    <xf numFmtId="43" fontId="2"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7" fillId="0" borderId="0"/>
  </cellStyleXfs>
  <cellXfs count="297">
    <xf numFmtId="0" fontId="0" fillId="0" borderId="0" xfId="0"/>
    <xf numFmtId="0" fontId="3" fillId="0" borderId="0" xfId="1" applyFont="1"/>
    <xf numFmtId="0" fontId="4" fillId="0" borderId="0" xfId="1" applyFont="1"/>
    <xf numFmtId="164" fontId="3" fillId="0" borderId="0" xfId="1" applyNumberFormat="1" applyFont="1" applyAlignment="1">
      <alignment wrapText="1"/>
    </xf>
    <xf numFmtId="164" fontId="3" fillId="0" borderId="0" xfId="3" applyNumberFormat="1" applyFont="1" applyBorder="1"/>
    <xf numFmtId="164" fontId="6" fillId="0" borderId="0" xfId="1" applyNumberFormat="1" applyFont="1"/>
    <xf numFmtId="0" fontId="3" fillId="0" borderId="0" xfId="1" applyFont="1" applyAlignment="1">
      <alignment wrapText="1"/>
    </xf>
    <xf numFmtId="164" fontId="3" fillId="0" borderId="0" xfId="4" applyNumberFormat="1" applyFont="1" applyFill="1" applyBorder="1"/>
    <xf numFmtId="164" fontId="3" fillId="0" borderId="0" xfId="4" applyNumberFormat="1" applyFont="1" applyBorder="1"/>
    <xf numFmtId="164" fontId="3" fillId="0" borderId="0" xfId="1" applyNumberFormat="1" applyFont="1"/>
    <xf numFmtId="0" fontId="7" fillId="3" borderId="3"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5" borderId="3" xfId="1" applyFont="1" applyFill="1" applyBorder="1" applyAlignment="1">
      <alignment horizontal="center" vertical="center" wrapText="1"/>
    </xf>
    <xf numFmtId="165" fontId="6" fillId="0" borderId="0" xfId="5" applyNumberFormat="1" applyFont="1" applyFill="1" applyBorder="1"/>
    <xf numFmtId="165" fontId="6" fillId="0" borderId="0" xfId="5" applyNumberFormat="1" applyFont="1" applyFill="1"/>
    <xf numFmtId="0" fontId="8" fillId="3" borderId="3" xfId="1" applyFont="1" applyFill="1" applyBorder="1" applyAlignment="1">
      <alignment horizontal="center" vertical="center" wrapText="1"/>
    </xf>
    <xf numFmtId="0" fontId="8" fillId="6" borderId="3" xfId="1" applyFont="1" applyFill="1" applyBorder="1" applyAlignment="1">
      <alignment horizontal="center" vertical="center" wrapText="1"/>
    </xf>
    <xf numFmtId="0" fontId="8" fillId="3" borderId="7" xfId="1" applyFont="1" applyFill="1" applyBorder="1" applyAlignment="1">
      <alignment horizontal="center" vertical="center" wrapText="1"/>
    </xf>
    <xf numFmtId="3" fontId="3" fillId="0" borderId="10" xfId="0" applyNumberFormat="1" applyFont="1" applyBorder="1"/>
    <xf numFmtId="165" fontId="6" fillId="0" borderId="10" xfId="5" applyNumberFormat="1" applyFont="1" applyFill="1" applyBorder="1"/>
    <xf numFmtId="0" fontId="8" fillId="3" borderId="6" xfId="1" applyFont="1" applyFill="1" applyBorder="1" applyAlignment="1">
      <alignment horizontal="center" vertical="center" wrapText="1"/>
    </xf>
    <xf numFmtId="3" fontId="3" fillId="0" borderId="9" xfId="0" applyNumberFormat="1" applyFont="1" applyBorder="1"/>
    <xf numFmtId="3" fontId="3" fillId="0" borderId="10" xfId="1" applyNumberFormat="1" applyFont="1" applyBorder="1"/>
    <xf numFmtId="0" fontId="8" fillId="3" borderId="4" xfId="1" applyFont="1" applyFill="1" applyBorder="1" applyAlignment="1">
      <alignment horizontal="center" vertical="center" wrapText="1"/>
    </xf>
    <xf numFmtId="0" fontId="8" fillId="3" borderId="11" xfId="1" applyFont="1" applyFill="1" applyBorder="1" applyAlignment="1">
      <alignment horizontal="center" vertical="center" wrapText="1"/>
    </xf>
    <xf numFmtId="0" fontId="8" fillId="7" borderId="4" xfId="2" applyFont="1" applyFill="1" applyBorder="1" applyAlignment="1">
      <alignment horizontal="center" vertical="center" wrapText="1"/>
    </xf>
    <xf numFmtId="0" fontId="8" fillId="2" borderId="4" xfId="1" applyFont="1" applyFill="1" applyBorder="1" applyAlignment="1">
      <alignment horizontal="center" vertical="center" wrapText="1"/>
    </xf>
    <xf numFmtId="0" fontId="7" fillId="6" borderId="3" xfId="1" applyFont="1" applyFill="1" applyBorder="1" applyAlignment="1">
      <alignment horizontal="center" vertical="center" wrapText="1"/>
    </xf>
    <xf numFmtId="0" fontId="10" fillId="0" borderId="0" xfId="1" applyFont="1" applyAlignment="1">
      <alignment horizontal="left" vertical="center"/>
    </xf>
    <xf numFmtId="0" fontId="9" fillId="0" borderId="0" xfId="1" applyFont="1" applyAlignment="1">
      <alignment horizontal="left" vertical="center"/>
    </xf>
    <xf numFmtId="164" fontId="6" fillId="0" borderId="0" xfId="4" applyNumberFormat="1" applyFont="1" applyFill="1" applyBorder="1"/>
    <xf numFmtId="165" fontId="6" fillId="0" borderId="9" xfId="5" applyNumberFormat="1" applyFont="1" applyFill="1" applyBorder="1"/>
    <xf numFmtId="10" fontId="3" fillId="0" borderId="10" xfId="6" applyNumberFormat="1" applyFont="1" applyFill="1" applyBorder="1"/>
    <xf numFmtId="10" fontId="6" fillId="0" borderId="10" xfId="6" applyNumberFormat="1" applyFont="1" applyFill="1" applyBorder="1"/>
    <xf numFmtId="3" fontId="3" fillId="0" borderId="0" xfId="4" applyNumberFormat="1" applyFont="1" applyFill="1" applyBorder="1"/>
    <xf numFmtId="3" fontId="3" fillId="0" borderId="9" xfId="1" applyNumberFormat="1" applyFont="1" applyBorder="1" applyAlignment="1">
      <alignment wrapText="1"/>
    </xf>
    <xf numFmtId="3" fontId="3" fillId="0" borderId="0" xfId="4" applyNumberFormat="1" applyFont="1" applyFill="1" applyBorder="1" applyAlignment="1">
      <alignment wrapText="1"/>
    </xf>
    <xf numFmtId="6" fontId="6" fillId="0" borderId="0" xfId="5" applyNumberFormat="1" applyFont="1" applyFill="1" applyBorder="1"/>
    <xf numFmtId="6" fontId="6" fillId="0" borderId="10" xfId="5" applyNumberFormat="1" applyFont="1" applyFill="1" applyBorder="1"/>
    <xf numFmtId="164" fontId="6" fillId="0" borderId="10" xfId="4" applyNumberFormat="1" applyFont="1" applyFill="1" applyBorder="1"/>
    <xf numFmtId="0" fontId="12" fillId="0" borderId="0" xfId="1" applyFont="1"/>
    <xf numFmtId="3" fontId="3" fillId="8" borderId="10" xfId="0" applyNumberFormat="1" applyFont="1" applyFill="1" applyBorder="1"/>
    <xf numFmtId="3" fontId="3" fillId="8" borderId="0" xfId="4" applyNumberFormat="1" applyFont="1" applyFill="1" applyBorder="1"/>
    <xf numFmtId="0" fontId="3" fillId="8" borderId="10" xfId="1" applyFont="1" applyFill="1" applyBorder="1"/>
    <xf numFmtId="164" fontId="12" fillId="0" borderId="0" xfId="4" applyNumberFormat="1" applyFont="1" applyBorder="1"/>
    <xf numFmtId="3" fontId="10" fillId="0" borderId="0" xfId="1" applyNumberFormat="1" applyFont="1" applyAlignment="1">
      <alignment horizontal="left" vertical="center"/>
    </xf>
    <xf numFmtId="6" fontId="3" fillId="0" borderId="0" xfId="1" applyNumberFormat="1" applyFont="1"/>
    <xf numFmtId="0" fontId="7" fillId="0" borderId="0" xfId="1" applyFont="1" applyAlignment="1">
      <alignment vertical="center" wrapText="1"/>
    </xf>
    <xf numFmtId="0" fontId="8" fillId="5" borderId="4" xfId="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11" fillId="8" borderId="9" xfId="1" applyFont="1" applyFill="1" applyBorder="1" applyAlignment="1">
      <alignment horizontal="center" vertical="center"/>
    </xf>
    <xf numFmtId="0" fontId="11" fillId="8" borderId="0" xfId="1" applyFont="1" applyFill="1" applyAlignment="1">
      <alignment horizontal="center" vertical="center"/>
    </xf>
    <xf numFmtId="0" fontId="11" fillId="8" borderId="10" xfId="1" applyFont="1" applyFill="1" applyBorder="1" applyAlignment="1">
      <alignment horizontal="center" vertical="center"/>
    </xf>
    <xf numFmtId="0" fontId="5" fillId="0" borderId="0" xfId="1" applyFont="1" applyAlignment="1">
      <alignment horizontal="center" vertical="center"/>
    </xf>
    <xf numFmtId="165" fontId="6" fillId="0" borderId="0" xfId="5" applyNumberFormat="1" applyFont="1" applyFill="1" applyBorder="1" applyAlignment="1">
      <alignment wrapText="1"/>
    </xf>
    <xf numFmtId="165" fontId="6" fillId="0" borderId="10" xfId="5" applyNumberFormat="1" applyFont="1" applyFill="1" applyBorder="1" applyAlignment="1">
      <alignment wrapText="1"/>
    </xf>
    <xf numFmtId="164" fontId="6" fillId="8" borderId="10" xfId="1" applyNumberFormat="1" applyFont="1" applyFill="1" applyBorder="1" applyAlignment="1">
      <alignment wrapText="1"/>
    </xf>
    <xf numFmtId="3" fontId="6" fillId="0" borderId="10" xfId="1" applyNumberFormat="1" applyFont="1" applyBorder="1"/>
    <xf numFmtId="3" fontId="6" fillId="0" borderId="19" xfId="1" applyNumberFormat="1" applyFont="1" applyBorder="1"/>
    <xf numFmtId="0" fontId="3" fillId="8" borderId="19" xfId="1" applyFont="1" applyFill="1" applyBorder="1"/>
    <xf numFmtId="0" fontId="8" fillId="5" borderId="23" xfId="1" applyFont="1" applyFill="1" applyBorder="1" applyAlignment="1">
      <alignment horizontal="center" vertical="center" wrapText="1"/>
    </xf>
    <xf numFmtId="0" fontId="8" fillId="3" borderId="16" xfId="1" applyFont="1" applyFill="1" applyBorder="1" applyAlignment="1">
      <alignment horizontal="center" vertical="center" wrapText="1"/>
    </xf>
    <xf numFmtId="165" fontId="12" fillId="0" borderId="0" xfId="1" applyNumberFormat="1" applyFont="1"/>
    <xf numFmtId="165" fontId="3" fillId="0" borderId="0" xfId="1" applyNumberFormat="1" applyFont="1"/>
    <xf numFmtId="164" fontId="3" fillId="0" borderId="9" xfId="4" applyNumberFormat="1" applyFont="1" applyFill="1" applyBorder="1" applyAlignment="1">
      <alignment wrapText="1"/>
    </xf>
    <xf numFmtId="164" fontId="3" fillId="0" borderId="0" xfId="4" applyNumberFormat="1" applyFont="1" applyFill="1" applyBorder="1" applyAlignment="1">
      <alignment wrapText="1"/>
    </xf>
    <xf numFmtId="164" fontId="3" fillId="0" borderId="10" xfId="4" applyNumberFormat="1" applyFont="1" applyFill="1" applyBorder="1" applyAlignment="1">
      <alignment wrapText="1"/>
    </xf>
    <xf numFmtId="166" fontId="6" fillId="0" borderId="0" xfId="6" applyNumberFormat="1" applyFont="1" applyFill="1"/>
    <xf numFmtId="164" fontId="6" fillId="0" borderId="0" xfId="4" applyNumberFormat="1" applyFont="1" applyFill="1"/>
    <xf numFmtId="0" fontId="12" fillId="0" borderId="0" xfId="1" applyFont="1" applyAlignment="1">
      <alignment wrapText="1"/>
    </xf>
    <xf numFmtId="165" fontId="12" fillId="0" borderId="0" xfId="5" applyNumberFormat="1" applyFont="1" applyBorder="1" applyAlignment="1">
      <alignment wrapText="1"/>
    </xf>
    <xf numFmtId="164" fontId="12" fillId="0" borderId="0" xfId="1" applyNumberFormat="1" applyFont="1" applyAlignment="1">
      <alignment wrapText="1"/>
    </xf>
    <xf numFmtId="6" fontId="3" fillId="0" borderId="0" xfId="1" applyNumberFormat="1" applyFont="1" applyAlignment="1">
      <alignment wrapText="1"/>
    </xf>
    <xf numFmtId="0" fontId="12" fillId="0" borderId="0" xfId="1" applyFont="1" applyAlignment="1">
      <alignment horizontal="center" wrapText="1"/>
    </xf>
    <xf numFmtId="164" fontId="12" fillId="0" borderId="0" xfId="4" applyNumberFormat="1" applyFont="1" applyBorder="1" applyAlignment="1">
      <alignment wrapText="1"/>
    </xf>
    <xf numFmtId="164" fontId="12" fillId="0" borderId="0" xfId="4" applyNumberFormat="1" applyFont="1" applyBorder="1" applyAlignment="1">
      <alignment horizontal="center" wrapText="1"/>
    </xf>
    <xf numFmtId="0" fontId="8" fillId="3" borderId="26" xfId="1" applyFont="1" applyFill="1" applyBorder="1" applyAlignment="1">
      <alignment horizontal="center" vertical="center" wrapText="1"/>
    </xf>
    <xf numFmtId="165" fontId="6" fillId="0" borderId="24" xfId="5" applyNumberFormat="1" applyFont="1" applyFill="1" applyBorder="1"/>
    <xf numFmtId="0" fontId="8" fillId="5" borderId="27" xfId="1" applyFont="1" applyFill="1" applyBorder="1" applyAlignment="1">
      <alignment horizontal="center" vertical="center" wrapText="1"/>
    </xf>
    <xf numFmtId="0" fontId="8" fillId="3" borderId="29" xfId="1" applyFont="1" applyFill="1" applyBorder="1" applyAlignment="1">
      <alignment horizontal="center" vertical="center" wrapText="1"/>
    </xf>
    <xf numFmtId="0" fontId="8" fillId="3" borderId="30" xfId="1" applyFont="1" applyFill="1" applyBorder="1" applyAlignment="1">
      <alignment horizontal="center" vertical="center" wrapText="1"/>
    </xf>
    <xf numFmtId="0" fontId="8" fillId="3" borderId="31"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8" fillId="6" borderId="29" xfId="1" applyFont="1" applyFill="1" applyBorder="1" applyAlignment="1">
      <alignment horizontal="center" vertical="center" wrapText="1"/>
    </xf>
    <xf numFmtId="0" fontId="8" fillId="2" borderId="30" xfId="1" applyFont="1" applyFill="1" applyBorder="1" applyAlignment="1">
      <alignment horizontal="center" vertical="center" wrapText="1"/>
    </xf>
    <xf numFmtId="0" fontId="8" fillId="3" borderId="32" xfId="1" applyFont="1" applyFill="1" applyBorder="1" applyAlignment="1">
      <alignment horizontal="center" vertical="center" wrapText="1"/>
    </xf>
    <xf numFmtId="3" fontId="3" fillId="0" borderId="33" xfId="0" applyNumberFormat="1" applyFont="1" applyBorder="1"/>
    <xf numFmtId="167" fontId="6" fillId="0" borderId="0" xfId="5" applyNumberFormat="1" applyFont="1" applyFill="1" applyBorder="1" applyAlignment="1">
      <alignment wrapText="1"/>
    </xf>
    <xf numFmtId="167" fontId="6" fillId="0" borderId="10" xfId="5" applyNumberFormat="1" applyFont="1" applyFill="1" applyBorder="1" applyAlignment="1">
      <alignment wrapText="1"/>
    </xf>
    <xf numFmtId="167" fontId="6" fillId="0" borderId="0" xfId="5" applyNumberFormat="1" applyFont="1" applyFill="1" applyBorder="1"/>
    <xf numFmtId="0" fontId="8" fillId="3" borderId="34" xfId="1" applyFont="1" applyFill="1" applyBorder="1" applyAlignment="1">
      <alignment horizontal="center" vertical="center" wrapText="1"/>
    </xf>
    <xf numFmtId="165" fontId="3" fillId="0" borderId="0" xfId="5" applyNumberFormat="1" applyFont="1" applyFill="1" applyBorder="1"/>
    <xf numFmtId="37" fontId="6" fillId="0" borderId="0" xfId="4" applyNumberFormat="1" applyFont="1" applyFill="1" applyBorder="1"/>
    <xf numFmtId="5" fontId="6" fillId="0" borderId="0" xfId="5" applyNumberFormat="1" applyFont="1" applyFill="1" applyBorder="1"/>
    <xf numFmtId="0" fontId="18" fillId="0" borderId="0" xfId="1" applyFont="1" applyAlignment="1">
      <alignment vertical="center" wrapText="1"/>
    </xf>
    <xf numFmtId="10" fontId="18" fillId="0" borderId="0" xfId="6" applyNumberFormat="1" applyFont="1" applyBorder="1" applyAlignment="1">
      <alignment vertical="center" wrapText="1"/>
    </xf>
    <xf numFmtId="165" fontId="6" fillId="4" borderId="37" xfId="5" applyNumberFormat="1" applyFont="1" applyFill="1" applyBorder="1" applyAlignment="1">
      <alignment wrapText="1"/>
    </xf>
    <xf numFmtId="164" fontId="6" fillId="0" borderId="24" xfId="4" applyNumberFormat="1" applyFont="1" applyFill="1" applyBorder="1"/>
    <xf numFmtId="10" fontId="6" fillId="0" borderId="38" xfId="6" applyNumberFormat="1" applyFont="1" applyFill="1" applyBorder="1"/>
    <xf numFmtId="165" fontId="6" fillId="0" borderId="24" xfId="6" applyNumberFormat="1" applyFont="1" applyFill="1" applyBorder="1"/>
    <xf numFmtId="10" fontId="6" fillId="0" borderId="22" xfId="6" applyNumberFormat="1" applyFont="1" applyFill="1" applyBorder="1"/>
    <xf numFmtId="165" fontId="6" fillId="0" borderId="20" xfId="5" applyNumberFormat="1" applyFont="1" applyFill="1" applyBorder="1"/>
    <xf numFmtId="165" fontId="6" fillId="0" borderId="21" xfId="5" applyNumberFormat="1" applyFont="1" applyFill="1" applyBorder="1"/>
    <xf numFmtId="164" fontId="6" fillId="0" borderId="39" xfId="4" applyNumberFormat="1" applyFont="1" applyFill="1" applyBorder="1"/>
    <xf numFmtId="164" fontId="6" fillId="0" borderId="22" xfId="4" applyNumberFormat="1" applyFont="1" applyFill="1" applyBorder="1"/>
    <xf numFmtId="164" fontId="6" fillId="0" borderId="21" xfId="4" applyNumberFormat="1" applyFont="1" applyFill="1" applyBorder="1"/>
    <xf numFmtId="165" fontId="6" fillId="0" borderId="22" xfId="5" applyNumberFormat="1" applyFont="1" applyFill="1" applyBorder="1"/>
    <xf numFmtId="164" fontId="6" fillId="8" borderId="25" xfId="4" applyNumberFormat="1" applyFont="1" applyFill="1" applyBorder="1"/>
    <xf numFmtId="10" fontId="6" fillId="8" borderId="25" xfId="6" applyNumberFormat="1" applyFont="1" applyFill="1" applyBorder="1"/>
    <xf numFmtId="165" fontId="6" fillId="4" borderId="42" xfId="5" applyNumberFormat="1" applyFont="1" applyFill="1" applyBorder="1" applyAlignment="1">
      <alignment wrapText="1"/>
    </xf>
    <xf numFmtId="166" fontId="6" fillId="4" borderId="22" xfId="6" applyNumberFormat="1" applyFont="1" applyFill="1" applyBorder="1" applyAlignment="1">
      <alignment wrapText="1"/>
    </xf>
    <xf numFmtId="166" fontId="6" fillId="4" borderId="40" xfId="6" applyNumberFormat="1" applyFont="1" applyFill="1" applyBorder="1" applyAlignment="1">
      <alignment wrapText="1"/>
    </xf>
    <xf numFmtId="166" fontId="6" fillId="4" borderId="41" xfId="6" applyNumberFormat="1" applyFont="1" applyFill="1" applyBorder="1" applyAlignment="1">
      <alignment wrapText="1"/>
    </xf>
    <xf numFmtId="165" fontId="6" fillId="0" borderId="40" xfId="5" applyNumberFormat="1" applyFont="1" applyFill="1" applyBorder="1"/>
    <xf numFmtId="165" fontId="6" fillId="0" borderId="44" xfId="5" applyNumberFormat="1" applyFont="1" applyFill="1" applyBorder="1"/>
    <xf numFmtId="166" fontId="6" fillId="4" borderId="39" xfId="6" applyNumberFormat="1" applyFont="1" applyFill="1" applyBorder="1" applyAlignment="1">
      <alignment wrapText="1"/>
    </xf>
    <xf numFmtId="166" fontId="6" fillId="4" borderId="45" xfId="6" applyNumberFormat="1" applyFont="1" applyFill="1" applyBorder="1" applyAlignment="1">
      <alignment wrapText="1"/>
    </xf>
    <xf numFmtId="164" fontId="6" fillId="8" borderId="46" xfId="4" applyNumberFormat="1" applyFont="1" applyFill="1" applyBorder="1"/>
    <xf numFmtId="10" fontId="6" fillId="8" borderId="47" xfId="6" applyNumberFormat="1" applyFont="1" applyFill="1" applyBorder="1"/>
    <xf numFmtId="165" fontId="6" fillId="4" borderId="50" xfId="5" applyNumberFormat="1" applyFont="1" applyFill="1" applyBorder="1" applyAlignment="1">
      <alignment wrapText="1"/>
    </xf>
    <xf numFmtId="165" fontId="6" fillId="0" borderId="49" xfId="5" applyNumberFormat="1" applyFont="1" applyFill="1" applyBorder="1"/>
    <xf numFmtId="10" fontId="6" fillId="4" borderId="21" xfId="6" applyNumberFormat="1" applyFont="1" applyFill="1" applyBorder="1" applyAlignment="1">
      <alignment wrapText="1"/>
    </xf>
    <xf numFmtId="166" fontId="6" fillId="4" borderId="49" xfId="6" applyNumberFormat="1" applyFont="1" applyFill="1" applyBorder="1" applyAlignment="1">
      <alignment wrapText="1"/>
    </xf>
    <xf numFmtId="165" fontId="6" fillId="4" borderId="45" xfId="5" applyNumberFormat="1" applyFont="1" applyFill="1" applyBorder="1" applyAlignment="1">
      <alignment wrapText="1"/>
    </xf>
    <xf numFmtId="10" fontId="6" fillId="4" borderId="39" xfId="6" applyNumberFormat="1" applyFont="1" applyFill="1" applyBorder="1" applyAlignment="1">
      <alignment wrapText="1"/>
    </xf>
    <xf numFmtId="0" fontId="15" fillId="0" borderId="0" xfId="1" applyFont="1" applyAlignment="1">
      <alignment wrapText="1"/>
    </xf>
    <xf numFmtId="0" fontId="19" fillId="0" borderId="0" xfId="1" applyFont="1" applyAlignment="1">
      <alignment wrapText="1"/>
    </xf>
    <xf numFmtId="0" fontId="16" fillId="0" borderId="0" xfId="1" applyFont="1" applyAlignment="1">
      <alignment wrapText="1"/>
    </xf>
    <xf numFmtId="165" fontId="13" fillId="0" borderId="0" xfId="5" applyNumberFormat="1" applyFont="1" applyFill="1" applyBorder="1" applyAlignment="1">
      <alignment horizontal="right" wrapText="1"/>
    </xf>
    <xf numFmtId="164" fontId="6" fillId="8" borderId="45" xfId="4" applyNumberFormat="1" applyFont="1" applyFill="1" applyBorder="1"/>
    <xf numFmtId="165" fontId="6" fillId="0" borderId="39" xfId="5" applyNumberFormat="1" applyFont="1" applyFill="1" applyBorder="1"/>
    <xf numFmtId="166" fontId="6" fillId="4" borderId="52" xfId="6" applyNumberFormat="1" applyFont="1" applyFill="1" applyBorder="1" applyAlignment="1">
      <alignment wrapText="1"/>
    </xf>
    <xf numFmtId="0" fontId="3" fillId="0" borderId="10" xfId="0" applyFont="1" applyBorder="1" applyAlignment="1">
      <alignment vertical="center" wrapText="1"/>
    </xf>
    <xf numFmtId="164" fontId="6" fillId="4" borderId="20" xfId="1" applyNumberFormat="1" applyFont="1" applyFill="1" applyBorder="1" applyAlignment="1">
      <alignment wrapText="1"/>
    </xf>
    <xf numFmtId="0" fontId="11" fillId="8" borderId="2" xfId="1" applyFont="1" applyFill="1" applyBorder="1" applyAlignment="1">
      <alignment horizontal="center" vertical="center"/>
    </xf>
    <xf numFmtId="3" fontId="3" fillId="0" borderId="17" xfId="0" applyNumberFormat="1" applyFont="1" applyBorder="1"/>
    <xf numFmtId="165" fontId="3" fillId="0" borderId="10" xfId="5" applyNumberFormat="1" applyFont="1" applyFill="1" applyBorder="1"/>
    <xf numFmtId="0" fontId="11" fillId="8" borderId="53" xfId="1" applyFont="1" applyFill="1" applyBorder="1" applyAlignment="1">
      <alignment horizontal="center" vertical="center"/>
    </xf>
    <xf numFmtId="0" fontId="8" fillId="3" borderId="54" xfId="1" applyFont="1" applyFill="1" applyBorder="1" applyAlignment="1">
      <alignment horizontal="center" vertical="center" wrapText="1"/>
    </xf>
    <xf numFmtId="3" fontId="3" fillId="0" borderId="43" xfId="0" applyNumberFormat="1" applyFont="1" applyBorder="1"/>
    <xf numFmtId="0" fontId="8" fillId="5" borderId="31" xfId="1" applyFont="1" applyFill="1" applyBorder="1" applyAlignment="1">
      <alignment horizontal="center" vertical="center" wrapText="1"/>
    </xf>
    <xf numFmtId="0" fontId="8" fillId="5" borderId="59" xfId="1" applyFont="1" applyFill="1" applyBorder="1" applyAlignment="1">
      <alignment horizontal="center" vertical="center" wrapText="1"/>
    </xf>
    <xf numFmtId="164" fontId="3" fillId="0" borderId="61" xfId="4" applyNumberFormat="1" applyFont="1" applyFill="1" applyBorder="1" applyAlignment="1">
      <alignment wrapText="1"/>
    </xf>
    <xf numFmtId="3" fontId="3" fillId="0" borderId="61" xfId="4" applyNumberFormat="1" applyFont="1" applyFill="1" applyBorder="1" applyAlignment="1">
      <alignment wrapText="1"/>
    </xf>
    <xf numFmtId="165" fontId="6" fillId="0" borderId="61" xfId="5" applyNumberFormat="1" applyFont="1" applyFill="1" applyBorder="1" applyAlignment="1">
      <alignment wrapText="1"/>
    </xf>
    <xf numFmtId="164" fontId="6" fillId="8" borderId="61" xfId="1" applyNumberFormat="1" applyFont="1" applyFill="1" applyBorder="1" applyAlignment="1">
      <alignment wrapText="1"/>
    </xf>
    <xf numFmtId="166" fontId="6" fillId="4" borderId="21" xfId="6" applyNumberFormat="1" applyFont="1" applyFill="1" applyBorder="1" applyAlignment="1">
      <alignment wrapText="1"/>
    </xf>
    <xf numFmtId="0" fontId="6" fillId="0" borderId="62" xfId="1" applyFont="1" applyBorder="1" applyAlignment="1">
      <alignment horizontal="center"/>
    </xf>
    <xf numFmtId="0" fontId="8" fillId="6" borderId="64" xfId="1" applyFont="1" applyFill="1" applyBorder="1" applyAlignment="1">
      <alignment horizontal="center" vertical="center" wrapText="1"/>
    </xf>
    <xf numFmtId="0" fontId="6" fillId="0" borderId="62" xfId="1" applyFont="1" applyBorder="1" applyAlignment="1">
      <alignment horizontal="center" wrapText="1"/>
    </xf>
    <xf numFmtId="0" fontId="8" fillId="6" borderId="56" xfId="1" applyFont="1" applyFill="1" applyBorder="1" applyAlignment="1">
      <alignment horizontal="center" vertical="center" wrapText="1"/>
    </xf>
    <xf numFmtId="0" fontId="8" fillId="6" borderId="67" xfId="1" applyFont="1" applyFill="1" applyBorder="1" applyAlignment="1">
      <alignment horizontal="center" vertical="center" wrapText="1"/>
    </xf>
    <xf numFmtId="164" fontId="3" fillId="0" borderId="61" xfId="1" applyNumberFormat="1" applyFont="1" applyBorder="1"/>
    <xf numFmtId="37" fontId="3" fillId="0" borderId="61" xfId="1" applyNumberFormat="1" applyFont="1" applyBorder="1"/>
    <xf numFmtId="38" fontId="3" fillId="0" borderId="61" xfId="1" applyNumberFormat="1" applyFont="1" applyBorder="1"/>
    <xf numFmtId="165" fontId="6" fillId="0" borderId="61" xfId="5" applyNumberFormat="1" applyFont="1" applyFill="1" applyBorder="1"/>
    <xf numFmtId="0" fontId="3" fillId="8" borderId="61" xfId="1" applyFont="1" applyFill="1" applyBorder="1"/>
    <xf numFmtId="3" fontId="3" fillId="0" borderId="69" xfId="0" applyNumberFormat="1" applyFont="1" applyBorder="1"/>
    <xf numFmtId="164" fontId="6" fillId="0" borderId="70" xfId="4" applyNumberFormat="1" applyFont="1" applyFill="1" applyBorder="1"/>
    <xf numFmtId="165" fontId="6" fillId="0" borderId="46" xfId="5" applyNumberFormat="1" applyFont="1" applyFill="1" applyBorder="1"/>
    <xf numFmtId="0" fontId="8" fillId="6" borderId="31" xfId="1" applyFont="1" applyFill="1" applyBorder="1" applyAlignment="1">
      <alignment horizontal="center" vertical="center" wrapText="1"/>
    </xf>
    <xf numFmtId="0" fontId="8" fillId="3" borderId="71" xfId="1" applyFont="1" applyFill="1" applyBorder="1" applyAlignment="1">
      <alignment horizontal="center" vertical="center" wrapText="1"/>
    </xf>
    <xf numFmtId="0" fontId="11" fillId="8" borderId="61" xfId="1" applyFont="1" applyFill="1" applyBorder="1" applyAlignment="1">
      <alignment horizontal="center" vertical="center"/>
    </xf>
    <xf numFmtId="3" fontId="3" fillId="0" borderId="61" xfId="1" applyNumberFormat="1" applyFont="1" applyBorder="1" applyAlignment="1">
      <alignment wrapText="1"/>
    </xf>
    <xf numFmtId="165" fontId="6" fillId="0" borderId="45" xfId="5" applyNumberFormat="1" applyFont="1" applyFill="1" applyBorder="1"/>
    <xf numFmtId="164" fontId="6" fillId="8" borderId="6" xfId="4" applyNumberFormat="1" applyFont="1" applyFill="1" applyBorder="1"/>
    <xf numFmtId="166" fontId="6" fillId="4" borderId="46" xfId="6" applyNumberFormat="1" applyFont="1" applyFill="1" applyBorder="1" applyAlignment="1">
      <alignment wrapText="1"/>
    </xf>
    <xf numFmtId="168" fontId="6" fillId="4" borderId="49" xfId="6" applyNumberFormat="1" applyFont="1" applyFill="1" applyBorder="1" applyAlignment="1">
      <alignment wrapText="1"/>
    </xf>
    <xf numFmtId="0" fontId="8" fillId="5" borderId="34" xfId="1" applyFont="1" applyFill="1" applyBorder="1" applyAlignment="1">
      <alignment horizontal="center" vertical="center" wrapText="1"/>
    </xf>
    <xf numFmtId="3" fontId="3" fillId="0" borderId="61" xfId="0" applyNumberFormat="1" applyFont="1" applyBorder="1"/>
    <xf numFmtId="165" fontId="6" fillId="4" borderId="73" xfId="5" applyNumberFormat="1" applyFont="1" applyFill="1" applyBorder="1" applyAlignment="1">
      <alignment wrapText="1"/>
    </xf>
    <xf numFmtId="168" fontId="6" fillId="4" borderId="45" xfId="6" applyNumberFormat="1" applyFont="1" applyFill="1" applyBorder="1" applyAlignment="1">
      <alignment wrapText="1"/>
    </xf>
    <xf numFmtId="10" fontId="6" fillId="4" borderId="46" xfId="6" applyNumberFormat="1" applyFont="1" applyFill="1" applyBorder="1" applyAlignment="1">
      <alignment wrapText="1"/>
    </xf>
    <xf numFmtId="0" fontId="6" fillId="0" borderId="75" xfId="1" applyFont="1" applyBorder="1" applyAlignment="1">
      <alignment horizontal="center"/>
    </xf>
    <xf numFmtId="0" fontId="8" fillId="3" borderId="76" xfId="1" applyFont="1" applyFill="1" applyBorder="1" applyAlignment="1">
      <alignment horizontal="center" vertical="center" wrapText="1"/>
    </xf>
    <xf numFmtId="0" fontId="11" fillId="8" borderId="77" xfId="1" applyFont="1" applyFill="1" applyBorder="1" applyAlignment="1">
      <alignment horizontal="center" vertical="center"/>
    </xf>
    <xf numFmtId="164" fontId="3" fillId="0" borderId="77" xfId="4" applyNumberFormat="1" applyFont="1" applyFill="1" applyBorder="1" applyAlignment="1">
      <alignment wrapText="1"/>
    </xf>
    <xf numFmtId="165" fontId="6" fillId="0" borderId="77" xfId="5" applyNumberFormat="1" applyFont="1" applyFill="1" applyBorder="1" applyAlignment="1">
      <alignment wrapText="1"/>
    </xf>
    <xf numFmtId="164" fontId="6" fillId="8" borderId="77" xfId="1" applyNumberFormat="1" applyFont="1" applyFill="1" applyBorder="1" applyAlignment="1">
      <alignment wrapText="1"/>
    </xf>
    <xf numFmtId="165" fontId="6" fillId="4" borderId="65" xfId="5" applyNumberFormat="1" applyFont="1" applyFill="1" applyBorder="1" applyAlignment="1">
      <alignment wrapText="1"/>
    </xf>
    <xf numFmtId="165" fontId="6" fillId="8" borderId="76" xfId="5" applyNumberFormat="1" applyFont="1" applyFill="1" applyBorder="1" applyAlignment="1">
      <alignment wrapText="1"/>
    </xf>
    <xf numFmtId="165" fontId="6" fillId="4" borderId="49" xfId="5" applyNumberFormat="1" applyFont="1" applyFill="1" applyBorder="1" applyAlignment="1">
      <alignment wrapText="1"/>
    </xf>
    <xf numFmtId="10" fontId="6" fillId="4" borderId="45" xfId="6" applyNumberFormat="1" applyFont="1" applyFill="1" applyBorder="1" applyAlignment="1">
      <alignment wrapText="1"/>
    </xf>
    <xf numFmtId="167" fontId="6" fillId="0" borderId="47" xfId="5" applyNumberFormat="1" applyFont="1" applyFill="1" applyBorder="1" applyAlignment="1">
      <alignment wrapText="1"/>
    </xf>
    <xf numFmtId="165" fontId="13" fillId="3" borderId="0" xfId="5" applyNumberFormat="1" applyFont="1" applyFill="1"/>
    <xf numFmtId="3" fontId="3" fillId="0" borderId="35" xfId="0" applyNumberFormat="1" applyFont="1" applyBorder="1"/>
    <xf numFmtId="3" fontId="3" fillId="0" borderId="38" xfId="0" applyNumberFormat="1" applyFont="1" applyBorder="1"/>
    <xf numFmtId="167" fontId="6" fillId="0" borderId="78" xfId="5" applyNumberFormat="1" applyFont="1" applyFill="1" applyBorder="1" applyAlignment="1">
      <alignment wrapText="1"/>
    </xf>
    <xf numFmtId="167" fontId="6" fillId="0" borderId="79" xfId="5" applyNumberFormat="1" applyFont="1" applyFill="1" applyBorder="1" applyAlignment="1">
      <alignment wrapText="1"/>
    </xf>
    <xf numFmtId="3" fontId="3" fillId="0" borderId="24" xfId="0" applyNumberFormat="1" applyFont="1" applyBorder="1"/>
    <xf numFmtId="3" fontId="3" fillId="0" borderId="24" xfId="4" applyNumberFormat="1" applyFont="1" applyFill="1" applyBorder="1" applyAlignment="1">
      <alignment wrapText="1"/>
    </xf>
    <xf numFmtId="3" fontId="3" fillId="0" borderId="38" xfId="4" applyNumberFormat="1" applyFont="1" applyFill="1" applyBorder="1" applyAlignment="1">
      <alignment wrapText="1"/>
    </xf>
    <xf numFmtId="3" fontId="3" fillId="0" borderId="10" xfId="4" applyNumberFormat="1" applyFont="1" applyFill="1" applyBorder="1" applyAlignment="1">
      <alignment wrapText="1"/>
    </xf>
    <xf numFmtId="165" fontId="6" fillId="0" borderId="78" xfId="5" applyNumberFormat="1" applyFont="1" applyFill="1" applyBorder="1" applyAlignment="1">
      <alignment wrapText="1"/>
    </xf>
    <xf numFmtId="165" fontId="6" fillId="0" borderId="25" xfId="5" applyNumberFormat="1" applyFont="1" applyFill="1" applyBorder="1" applyAlignment="1">
      <alignment wrapText="1"/>
    </xf>
    <xf numFmtId="165" fontId="6" fillId="0" borderId="79" xfId="5" applyNumberFormat="1" applyFont="1" applyFill="1" applyBorder="1" applyAlignment="1">
      <alignment wrapText="1"/>
    </xf>
    <xf numFmtId="167" fontId="6" fillId="0" borderId="25" xfId="5" applyNumberFormat="1" applyFont="1" applyFill="1" applyBorder="1" applyAlignment="1">
      <alignment wrapText="1"/>
    </xf>
    <xf numFmtId="165" fontId="6" fillId="4" borderId="80" xfId="5" applyNumberFormat="1" applyFont="1" applyFill="1" applyBorder="1" applyAlignment="1">
      <alignment wrapText="1"/>
    </xf>
    <xf numFmtId="165" fontId="6" fillId="4" borderId="51" xfId="5" applyNumberFormat="1" applyFont="1" applyFill="1" applyBorder="1" applyAlignment="1">
      <alignment wrapText="1"/>
    </xf>
    <xf numFmtId="3" fontId="3" fillId="0" borderId="35" xfId="1" applyNumberFormat="1" applyFont="1" applyBorder="1" applyAlignment="1">
      <alignment wrapText="1"/>
    </xf>
    <xf numFmtId="3" fontId="3" fillId="0" borderId="38" xfId="1" applyNumberFormat="1" applyFont="1" applyBorder="1" applyAlignment="1">
      <alignment wrapText="1"/>
    </xf>
    <xf numFmtId="3" fontId="3" fillId="0" borderId="10" xfId="1" applyNumberFormat="1" applyFont="1" applyBorder="1" applyAlignment="1">
      <alignment wrapText="1"/>
    </xf>
    <xf numFmtId="165" fontId="6" fillId="0" borderId="78" xfId="5" applyNumberFormat="1" applyFont="1" applyFill="1" applyBorder="1"/>
    <xf numFmtId="165" fontId="6" fillId="0" borderId="79" xfId="5" applyNumberFormat="1" applyFont="1" applyFill="1" applyBorder="1"/>
    <xf numFmtId="0" fontId="8" fillId="7" borderId="85" xfId="2" applyFont="1" applyFill="1" applyBorder="1" applyAlignment="1">
      <alignment horizontal="center" vertical="center" wrapText="1"/>
    </xf>
    <xf numFmtId="0" fontId="8" fillId="6" borderId="54" xfId="1" applyFont="1" applyFill="1" applyBorder="1" applyAlignment="1">
      <alignment horizontal="center" vertical="center" wrapText="1"/>
    </xf>
    <xf numFmtId="164" fontId="14" fillId="0" borderId="9" xfId="1" applyNumberFormat="1" applyFont="1" applyBorder="1" applyAlignment="1">
      <alignment horizontal="center" vertical="center" wrapText="1"/>
    </xf>
    <xf numFmtId="0" fontId="11" fillId="8" borderId="17" xfId="1" applyFont="1" applyFill="1" applyBorder="1" applyAlignment="1">
      <alignment horizontal="center" vertical="center"/>
    </xf>
    <xf numFmtId="164" fontId="3" fillId="0" borderId="9" xfId="1" applyNumberFormat="1" applyFont="1" applyBorder="1" applyAlignment="1">
      <alignment wrapText="1"/>
    </xf>
    <xf numFmtId="3" fontId="3" fillId="0" borderId="0" xfId="0" applyNumberFormat="1" applyFont="1"/>
    <xf numFmtId="3" fontId="3" fillId="0" borderId="0" xfId="1" applyNumberFormat="1" applyFont="1" applyAlignment="1">
      <alignment wrapText="1"/>
    </xf>
    <xf numFmtId="3" fontId="3" fillId="0" borderId="0" xfId="1" applyNumberFormat="1" applyFont="1"/>
    <xf numFmtId="164" fontId="6" fillId="0" borderId="9" xfId="1" applyNumberFormat="1" applyFont="1" applyBorder="1" applyAlignment="1">
      <alignment wrapText="1"/>
    </xf>
    <xf numFmtId="3" fontId="6" fillId="0" borderId="0" xfId="1" applyNumberFormat="1" applyFont="1"/>
    <xf numFmtId="164" fontId="14" fillId="0" borderId="9" xfId="1" applyNumberFormat="1" applyFont="1" applyBorder="1" applyAlignment="1">
      <alignment horizontal="center" wrapText="1"/>
    </xf>
    <xf numFmtId="164" fontId="6" fillId="8" borderId="0" xfId="1" applyNumberFormat="1" applyFont="1" applyFill="1" applyAlignment="1">
      <alignment wrapText="1"/>
    </xf>
    <xf numFmtId="0" fontId="3" fillId="8" borderId="0" xfId="1" applyFont="1" applyFill="1"/>
    <xf numFmtId="0" fontId="3" fillId="0" borderId="9" xfId="0" applyFont="1" applyBorder="1" applyAlignment="1">
      <alignment wrapText="1"/>
    </xf>
    <xf numFmtId="0" fontId="3" fillId="0" borderId="9" xfId="0" applyFont="1" applyBorder="1" applyAlignment="1">
      <alignment vertical="center" wrapText="1"/>
    </xf>
    <xf numFmtId="37" fontId="3" fillId="0" borderId="0" xfId="1" applyNumberFormat="1" applyFont="1"/>
    <xf numFmtId="164" fontId="6" fillId="0" borderId="86" xfId="4" applyNumberFormat="1" applyFont="1" applyFill="1" applyBorder="1"/>
    <xf numFmtId="164" fontId="6" fillId="0" borderId="36" xfId="4" applyNumberFormat="1" applyFont="1" applyFill="1" applyBorder="1"/>
    <xf numFmtId="164" fontId="6" fillId="8" borderId="87" xfId="4" applyNumberFormat="1" applyFont="1" applyFill="1" applyBorder="1"/>
    <xf numFmtId="166" fontId="6" fillId="4" borderId="88" xfId="6" applyNumberFormat="1" applyFont="1" applyFill="1" applyBorder="1" applyAlignment="1">
      <alignment wrapText="1"/>
    </xf>
    <xf numFmtId="164" fontId="6" fillId="0" borderId="9" xfId="3" applyNumberFormat="1" applyFont="1" applyFill="1" applyBorder="1" applyAlignment="1">
      <alignment wrapText="1"/>
    </xf>
    <xf numFmtId="165" fontId="6" fillId="4" borderId="41" xfId="5" applyNumberFormat="1" applyFont="1" applyFill="1" applyBorder="1" applyAlignment="1">
      <alignment wrapText="1"/>
    </xf>
    <xf numFmtId="166" fontId="6" fillId="4" borderId="89" xfId="6" applyNumberFormat="1" applyFont="1" applyFill="1" applyBorder="1" applyAlignment="1">
      <alignment wrapText="1"/>
    </xf>
    <xf numFmtId="0" fontId="8" fillId="3" borderId="94" xfId="1" applyFont="1" applyFill="1" applyBorder="1" applyAlignment="1">
      <alignment horizontal="center" vertical="center" wrapText="1"/>
    </xf>
    <xf numFmtId="0" fontId="11" fillId="8" borderId="17" xfId="1" applyFont="1" applyFill="1" applyBorder="1" applyAlignment="1">
      <alignment horizontal="center"/>
    </xf>
    <xf numFmtId="165" fontId="6" fillId="0" borderId="9" xfId="5" applyNumberFormat="1" applyFont="1" applyFill="1" applyBorder="1" applyAlignment="1">
      <alignment wrapText="1"/>
    </xf>
    <xf numFmtId="164" fontId="6" fillId="8" borderId="9" xfId="1" applyNumberFormat="1" applyFont="1" applyFill="1" applyBorder="1" applyAlignment="1">
      <alignment wrapText="1"/>
    </xf>
    <xf numFmtId="167" fontId="6" fillId="0" borderId="55" xfId="5" applyNumberFormat="1" applyFont="1" applyFill="1" applyBorder="1" applyAlignment="1">
      <alignment wrapText="1"/>
    </xf>
    <xf numFmtId="0" fontId="7" fillId="0" borderId="9" xfId="2" applyFont="1" applyBorder="1" applyAlignment="1">
      <alignment horizontal="center" vertical="center" wrapText="1"/>
    </xf>
    <xf numFmtId="0" fontId="4" fillId="0" borderId="35" xfId="1" applyFont="1" applyBorder="1" applyAlignment="1">
      <alignment horizontal="center" vertical="center" wrapText="1"/>
    </xf>
    <xf numFmtId="0" fontId="4" fillId="0" borderId="24" xfId="1" applyFont="1" applyBorder="1" applyAlignment="1">
      <alignment horizontal="center" vertical="center" wrapText="1"/>
    </xf>
    <xf numFmtId="0" fontId="4" fillId="0" borderId="60" xfId="1" applyFont="1" applyBorder="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4" fillId="0" borderId="61" xfId="1" applyFont="1" applyBorder="1" applyAlignment="1">
      <alignment horizontal="center" vertical="center"/>
    </xf>
    <xf numFmtId="0" fontId="4" fillId="0" borderId="74" xfId="1" applyFont="1" applyBorder="1" applyAlignment="1">
      <alignment horizontal="center" vertical="center"/>
    </xf>
    <xf numFmtId="0" fontId="4" fillId="0" borderId="77" xfId="1" applyFont="1" applyBorder="1" applyAlignment="1">
      <alignment horizontal="center" vertical="center"/>
    </xf>
    <xf numFmtId="0" fontId="4" fillId="0" borderId="10" xfId="1" applyFont="1" applyBorder="1" applyAlignment="1">
      <alignment horizontal="center" vertical="center" wrapText="1"/>
    </xf>
    <xf numFmtId="0" fontId="4" fillId="0" borderId="24" xfId="1" applyFont="1" applyBorder="1" applyAlignment="1">
      <alignment horizontal="center" vertical="center"/>
    </xf>
    <xf numFmtId="0" fontId="4" fillId="0" borderId="60" xfId="1" applyFont="1" applyBorder="1" applyAlignment="1">
      <alignment horizontal="center" vertical="center"/>
    </xf>
    <xf numFmtId="0" fontId="4" fillId="0" borderId="9" xfId="1" applyFont="1" applyBorder="1" applyAlignment="1">
      <alignment horizontal="center" vertical="center" wrapText="1"/>
    </xf>
    <xf numFmtId="0" fontId="4" fillId="0" borderId="61" xfId="1" applyFont="1" applyBorder="1" applyAlignment="1">
      <alignment horizontal="center" vertical="center" wrapText="1"/>
    </xf>
    <xf numFmtId="0" fontId="4" fillId="0" borderId="19" xfId="1" applyFont="1" applyBorder="1" applyAlignment="1">
      <alignment horizontal="center" vertical="center"/>
    </xf>
    <xf numFmtId="0" fontId="4" fillId="0" borderId="28" xfId="1" applyFont="1" applyBorder="1" applyAlignment="1">
      <alignment horizontal="center" vertical="center"/>
    </xf>
    <xf numFmtId="0" fontId="4" fillId="0" borderId="28" xfId="1" applyFont="1" applyBorder="1" applyAlignment="1">
      <alignment horizontal="center" vertical="center" wrapText="1"/>
    </xf>
    <xf numFmtId="0" fontId="4" fillId="0" borderId="19" xfId="1" applyFont="1" applyBorder="1" applyAlignment="1">
      <alignment horizontal="center" vertical="center" wrapText="1"/>
    </xf>
    <xf numFmtId="0" fontId="4" fillId="0" borderId="2" xfId="1" applyFont="1" applyBorder="1" applyAlignment="1">
      <alignment horizontal="center" vertical="center"/>
    </xf>
    <xf numFmtId="0" fontId="4" fillId="0" borderId="1" xfId="1" applyFont="1" applyBorder="1" applyAlignment="1">
      <alignment horizontal="center" vertical="center"/>
    </xf>
    <xf numFmtId="0" fontId="4" fillId="0" borderId="14" xfId="1" applyFont="1" applyBorder="1" applyAlignment="1">
      <alignment horizontal="center" vertical="center"/>
    </xf>
    <xf numFmtId="0" fontId="4" fillId="0" borderId="13" xfId="1" applyFont="1" applyBorder="1" applyAlignment="1">
      <alignment horizontal="center" vertical="center"/>
    </xf>
    <xf numFmtId="0" fontId="4" fillId="0" borderId="8" xfId="1" applyFont="1" applyBorder="1" applyAlignment="1">
      <alignment horizontal="center" vertical="center" wrapText="1"/>
    </xf>
    <xf numFmtId="0" fontId="4" fillId="0" borderId="68" xfId="1" applyFont="1" applyBorder="1" applyAlignment="1">
      <alignment horizontal="center" vertical="center"/>
    </xf>
    <xf numFmtId="0" fontId="4" fillId="0" borderId="9" xfId="1" applyFont="1" applyBorder="1" applyAlignment="1">
      <alignment horizontal="center" vertical="center"/>
    </xf>
    <xf numFmtId="0" fontId="4" fillId="0" borderId="63" xfId="1" applyFont="1" applyBorder="1" applyAlignment="1">
      <alignment horizontal="center" vertical="center"/>
    </xf>
    <xf numFmtId="0" fontId="4" fillId="0" borderId="12" xfId="1" applyFont="1" applyBorder="1" applyAlignment="1">
      <alignment horizontal="center" vertical="center"/>
    </xf>
    <xf numFmtId="0" fontId="4" fillId="0" borderId="8" xfId="1" applyFont="1" applyBorder="1" applyAlignment="1">
      <alignment horizontal="center" vertical="center"/>
    </xf>
    <xf numFmtId="0" fontId="4" fillId="0" borderId="33" xfId="1" applyFont="1" applyBorder="1" applyAlignment="1">
      <alignment horizontal="center" vertical="center" wrapText="1"/>
    </xf>
    <xf numFmtId="0" fontId="6" fillId="0" borderId="35" xfId="1" applyFont="1" applyBorder="1" applyAlignment="1">
      <alignment horizontal="center" wrapText="1"/>
    </xf>
    <xf numFmtId="0" fontId="6" fillId="0" borderId="84" xfId="1" applyFont="1" applyBorder="1" applyAlignment="1">
      <alignment horizontal="center" wrapText="1"/>
    </xf>
    <xf numFmtId="0" fontId="6" fillId="0" borderId="90" xfId="1" applyFont="1" applyBorder="1" applyAlignment="1">
      <alignment horizontal="center"/>
    </xf>
    <xf numFmtId="0" fontId="6" fillId="0" borderId="83" xfId="1" applyFont="1" applyBorder="1" applyAlignment="1">
      <alignment horizontal="center"/>
    </xf>
    <xf numFmtId="0" fontId="6" fillId="0" borderId="91" xfId="1" applyFont="1" applyBorder="1" applyAlignment="1">
      <alignment horizontal="center"/>
    </xf>
    <xf numFmtId="0" fontId="6" fillId="0" borderId="18" xfId="1" applyFont="1" applyBorder="1" applyAlignment="1">
      <alignment horizontal="center" wrapText="1"/>
    </xf>
    <xf numFmtId="0" fontId="6" fillId="0" borderId="20" xfId="1" applyFont="1" applyBorder="1" applyAlignment="1">
      <alignment horizontal="center"/>
    </xf>
    <xf numFmtId="0" fontId="6" fillId="0" borderId="21" xfId="1" applyFont="1" applyBorder="1" applyAlignment="1">
      <alignment horizontal="center"/>
    </xf>
    <xf numFmtId="0" fontId="6" fillId="0" borderId="22" xfId="1" applyFont="1" applyBorder="1" applyAlignment="1">
      <alignment horizontal="center"/>
    </xf>
    <xf numFmtId="0" fontId="6" fillId="0" borderId="48" xfId="1" applyFont="1" applyBorder="1" applyAlignment="1">
      <alignment horizontal="center"/>
    </xf>
    <xf numFmtId="0" fontId="6" fillId="0" borderId="66" xfId="1" applyFont="1" applyBorder="1" applyAlignment="1">
      <alignment horizontal="center"/>
    </xf>
    <xf numFmtId="0" fontId="12" fillId="0" borderId="0" xfId="1" applyFont="1" applyAlignment="1">
      <alignment horizontal="center" wrapText="1"/>
    </xf>
    <xf numFmtId="0" fontId="6" fillId="0" borderId="26" xfId="1" applyFont="1" applyBorder="1" applyAlignment="1">
      <alignment horizontal="center" wrapText="1"/>
    </xf>
    <xf numFmtId="0" fontId="6" fillId="0" borderId="15" xfId="1" applyFont="1" applyBorder="1" applyAlignment="1">
      <alignment horizontal="center" wrapText="1"/>
    </xf>
    <xf numFmtId="0" fontId="6" fillId="0" borderId="48" xfId="1" applyFont="1" applyBorder="1" applyAlignment="1">
      <alignment horizontal="center" wrapText="1"/>
    </xf>
    <xf numFmtId="0" fontId="6" fillId="0" borderId="66" xfId="1" applyFont="1" applyBorder="1" applyAlignment="1">
      <alignment horizontal="center" wrapText="1"/>
    </xf>
    <xf numFmtId="0" fontId="6" fillId="0" borderId="82" xfId="1" applyFont="1" applyBorder="1" applyAlignment="1">
      <alignment horizontal="center" wrapText="1"/>
    </xf>
    <xf numFmtId="0" fontId="6" fillId="0" borderId="92" xfId="1" applyFont="1" applyBorder="1" applyAlignment="1">
      <alignment horizontal="center"/>
    </xf>
    <xf numFmtId="0" fontId="6" fillId="0" borderId="57" xfId="1" applyFont="1" applyBorder="1" applyAlignment="1">
      <alignment horizontal="center"/>
    </xf>
    <xf numFmtId="0" fontId="6" fillId="0" borderId="72" xfId="1" applyFont="1" applyBorder="1" applyAlignment="1">
      <alignment horizontal="center"/>
    </xf>
    <xf numFmtId="0" fontId="6" fillId="0" borderId="72" xfId="1" applyFont="1" applyBorder="1" applyAlignment="1">
      <alignment horizontal="center" wrapText="1"/>
    </xf>
    <xf numFmtId="0" fontId="6" fillId="0" borderId="58" xfId="1" applyFont="1" applyBorder="1" applyAlignment="1">
      <alignment horizontal="center"/>
    </xf>
    <xf numFmtId="0" fontId="6" fillId="0" borderId="57" xfId="1" applyFont="1" applyBorder="1" applyAlignment="1">
      <alignment horizontal="center" wrapText="1"/>
    </xf>
    <xf numFmtId="0" fontId="6" fillId="0" borderId="93" xfId="1" applyFont="1" applyBorder="1" applyAlignment="1">
      <alignment horizontal="center" wrapText="1"/>
    </xf>
    <xf numFmtId="0" fontId="6" fillId="0" borderId="26" xfId="1" applyFont="1" applyBorder="1" applyAlignment="1">
      <alignment horizontal="center"/>
    </xf>
    <xf numFmtId="0" fontId="6" fillId="0" borderId="15" xfId="1" applyFont="1" applyBorder="1" applyAlignment="1">
      <alignment horizontal="center"/>
    </xf>
    <xf numFmtId="0" fontId="6" fillId="0" borderId="18" xfId="1" applyFont="1" applyBorder="1" applyAlignment="1">
      <alignment horizontal="center"/>
    </xf>
    <xf numFmtId="0" fontId="6" fillId="0" borderId="81" xfId="1" applyFont="1" applyBorder="1" applyAlignment="1">
      <alignment horizontal="center" wrapText="1"/>
    </xf>
    <xf numFmtId="0" fontId="18" fillId="0" borderId="0" xfId="1" applyFont="1" applyAlignment="1">
      <alignment horizontal="left" vertical="center" wrapText="1"/>
    </xf>
    <xf numFmtId="0" fontId="18" fillId="0" borderId="2" xfId="1" applyFont="1" applyBorder="1" applyAlignment="1">
      <alignment horizontal="left" vertical="center" wrapText="1"/>
    </xf>
    <xf numFmtId="0" fontId="15" fillId="0" borderId="0" xfId="1" applyFont="1" applyAlignment="1">
      <alignment horizontal="center" wrapText="1"/>
    </xf>
    <xf numFmtId="0" fontId="9" fillId="0" borderId="0" xfId="1" applyFont="1" applyAlignment="1">
      <alignment horizontal="center" vertical="center"/>
    </xf>
    <xf numFmtId="0" fontId="6" fillId="0" borderId="20" xfId="1" applyFont="1" applyBorder="1" applyAlignment="1">
      <alignment horizontal="center" wrapText="1"/>
    </xf>
    <xf numFmtId="0" fontId="6" fillId="0" borderId="21" xfId="1" applyFont="1" applyBorder="1" applyAlignment="1">
      <alignment horizontal="center" wrapText="1"/>
    </xf>
    <xf numFmtId="0" fontId="6" fillId="0" borderId="22" xfId="1" applyFont="1" applyBorder="1" applyAlignment="1">
      <alignment horizontal="center" wrapText="1"/>
    </xf>
  </cellXfs>
  <cellStyles count="8">
    <cellStyle name="Comma" xfId="4" builtinId="3"/>
    <cellStyle name="Comma 5" xfId="3" xr:uid="{00000000-0005-0000-0000-000001000000}"/>
    <cellStyle name="Currency" xfId="5" builtinId="4"/>
    <cellStyle name="Normal" xfId="0" builtinId="0"/>
    <cellStyle name="Normal 10" xfId="1" xr:uid="{00000000-0005-0000-0000-000004000000}"/>
    <cellStyle name="Normal 2" xfId="7" xr:uid="{9E976BEF-BB7D-4A45-B5F4-C37F553433C6}"/>
    <cellStyle name="Normal 8" xfId="2" xr:uid="{00000000-0005-0000-0000-000005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CFFS02.itsc.hhs-itsc.local\Data1Pub29$\OLABUSER\SM\FCP\Data%20Requests\BEA\IV-E%20FC%20Expenditures%201985-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LABUSER\SM\FCP\Data%20Requests\Florida%20GFA%20NGO\IV-E%20AA%20Expenditures%201987-20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LABUSER\SM\FCP\2015%20budget\Expenditure%20Data\May%201%20Update\PSC%20Open%20and%20Closed%20Documents%20Rep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 1985"/>
      <sheetName val="FY 1986"/>
      <sheetName val="FY 1987"/>
      <sheetName val="FY 1988"/>
      <sheetName val="FY 1989"/>
      <sheetName val="FY 1990"/>
      <sheetName val="FY 1991"/>
      <sheetName val="FY 1992"/>
      <sheetName val="FY 1993"/>
      <sheetName val="FY 1994"/>
      <sheetName val="FY 1995"/>
      <sheetName val="FY 1996"/>
      <sheetName val="FY 1997"/>
      <sheetName val="FY 1998"/>
      <sheetName val="FY 1999"/>
      <sheetName val="FY 2000"/>
      <sheetName val="FY 2001"/>
      <sheetName val="FY 2002"/>
      <sheetName val="FY 2003"/>
      <sheetName val="FY 2004"/>
      <sheetName val="FY 2005"/>
      <sheetName val="FY 2006"/>
      <sheetName val="FY 2007"/>
      <sheetName val="FY 2008"/>
      <sheetName val="FY 2009"/>
      <sheetName val="FY 2010"/>
      <sheetName val="FY 2011"/>
      <sheetName val="FY 2012"/>
      <sheetName val="FY 2013"/>
      <sheetName val="FY 2014"/>
      <sheetName val="FY 2015"/>
      <sheetName val="FY 2016"/>
      <sheetName val="FY 2017"/>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 1987"/>
      <sheetName val="FY 1988"/>
      <sheetName val="FY 1989"/>
      <sheetName val="FY 1990"/>
      <sheetName val="FY 1991"/>
      <sheetName val="FY 1992"/>
      <sheetName val="FY 1993"/>
      <sheetName val="FY 1994"/>
      <sheetName val="FY 1995"/>
      <sheetName val="FY 1996"/>
      <sheetName val="FY 1997"/>
      <sheetName val="FY 1998"/>
      <sheetName val="FY 1999"/>
      <sheetName val="FY 2000"/>
      <sheetName val="FY 2001"/>
      <sheetName val="FY 2002"/>
      <sheetName val="FY 2003"/>
      <sheetName val="FY 2004"/>
      <sheetName val="FY 2005"/>
      <sheetName val="FY 2006"/>
      <sheetName val="FY 2007"/>
      <sheetName val="FY 2008"/>
      <sheetName val="FY 2009"/>
      <sheetName val="FY 20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C Open and Closed Documents R"/>
      <sheetName val="Macro1"/>
    </sheetNames>
    <sheetDataSet>
      <sheetData sheetId="0"/>
      <sheetData sheetId="1">
        <row r="271">
          <cell r="A271" t="str">
            <v>Recover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37"/>
  <sheetViews>
    <sheetView tabSelected="1" topLeftCell="A72" zoomScale="90" zoomScaleNormal="90" zoomScaleSheetLayoutView="140" workbookViewId="0">
      <pane xSplit="1" topLeftCell="B1" activePane="topRight" state="frozen"/>
      <selection activeCell="A13" sqref="A13"/>
      <selection pane="topRight" activeCell="BJ6" sqref="BJ6"/>
    </sheetView>
  </sheetViews>
  <sheetFormatPr defaultColWidth="8.85546875" defaultRowHeight="12.75" x14ac:dyDescent="0.2"/>
  <cols>
    <col min="1" max="1" width="19.42578125" style="6" customWidth="1"/>
    <col min="2" max="22" width="16.5703125" style="6" customWidth="1"/>
    <col min="23" max="64" width="16.5703125" style="1" customWidth="1"/>
    <col min="65" max="16384" width="8.85546875" style="1"/>
  </cols>
  <sheetData>
    <row r="1" spans="1:64" ht="37.35" customHeight="1" x14ac:dyDescent="0.3">
      <c r="B1" s="292" t="s">
        <v>149</v>
      </c>
      <c r="C1" s="292"/>
      <c r="D1" s="292"/>
      <c r="E1" s="292"/>
      <c r="F1" s="292"/>
      <c r="G1" s="292"/>
      <c r="H1" s="292"/>
      <c r="I1" s="292"/>
      <c r="J1" s="292"/>
      <c r="K1" s="127"/>
      <c r="L1" s="126"/>
      <c r="M1" s="292" t="str">
        <f>$B1</f>
        <v xml:space="preserve"> Fiscal Year (FY) 2024 Title IV-E Foster Care Program Total Computable (TC) and Federal Financial Participation (FFP) Claims and Caseload Data*1</v>
      </c>
      <c r="N1" s="292"/>
      <c r="O1" s="292"/>
      <c r="P1" s="292"/>
      <c r="Q1" s="292"/>
      <c r="R1" s="292"/>
      <c r="S1" s="292"/>
      <c r="T1" s="292"/>
      <c r="U1" s="292"/>
      <c r="V1" s="126"/>
      <c r="W1" s="126"/>
      <c r="X1" s="292" t="str">
        <f>B1</f>
        <v xml:space="preserve"> Fiscal Year (FY) 2024 Title IV-E Foster Care Program Total Computable (TC) and Federal Financial Participation (FFP) Claims and Caseload Data*1</v>
      </c>
      <c r="Y1" s="292"/>
      <c r="Z1" s="292"/>
      <c r="AA1" s="292"/>
      <c r="AB1" s="292"/>
      <c r="AC1" s="292"/>
      <c r="AD1" s="292"/>
      <c r="AE1" s="292"/>
      <c r="AF1" s="292"/>
      <c r="AG1" s="292"/>
      <c r="AH1" s="126"/>
      <c r="AI1" s="292" t="str">
        <f>B1</f>
        <v xml:space="preserve"> Fiscal Year (FY) 2024 Title IV-E Foster Care Program Total Computable (TC) and Federal Financial Participation (FFP) Claims and Caseload Data*1</v>
      </c>
      <c r="AJ1" s="292"/>
      <c r="AK1" s="292"/>
      <c r="AL1" s="292"/>
      <c r="AM1" s="292"/>
      <c r="AN1" s="292"/>
      <c r="AO1" s="292"/>
      <c r="AP1" s="292"/>
      <c r="AR1" s="128"/>
      <c r="AS1" s="292" t="str">
        <f>B1</f>
        <v xml:space="preserve"> Fiscal Year (FY) 2024 Title IV-E Foster Care Program Total Computable (TC) and Federal Financial Participation (FFP) Claims and Caseload Data*1</v>
      </c>
      <c r="AT1" s="292"/>
      <c r="AU1" s="292"/>
      <c r="AV1" s="292"/>
      <c r="AW1" s="292"/>
      <c r="AX1" s="292"/>
      <c r="AY1" s="292"/>
      <c r="AZ1" s="292"/>
      <c r="BA1" s="292"/>
      <c r="BB1" s="292"/>
      <c r="BE1" s="292" t="str">
        <f>B1</f>
        <v xml:space="preserve"> Fiscal Year (FY) 2024 Title IV-E Foster Care Program Total Computable (TC) and Federal Financial Participation (FFP) Claims and Caseload Data*1</v>
      </c>
      <c r="BF1" s="292"/>
      <c r="BG1" s="292"/>
      <c r="BH1" s="292"/>
      <c r="BI1" s="292"/>
      <c r="BJ1" s="126"/>
      <c r="BK1" s="126"/>
      <c r="BL1" s="126"/>
    </row>
    <row r="2" spans="1:64" ht="14.1" customHeight="1" x14ac:dyDescent="0.2">
      <c r="E2" s="29" t="s">
        <v>116</v>
      </c>
      <c r="P2" s="29" t="str">
        <f>E2</f>
        <v>Data Reported As of: February 18, 2026</v>
      </c>
      <c r="AB2" s="293" t="str">
        <f>E2</f>
        <v>Data Reported As of: February 18, 2026</v>
      </c>
      <c r="AC2" s="293"/>
      <c r="AD2" s="293"/>
      <c r="AH2" s="45"/>
      <c r="AI2" s="45"/>
      <c r="AJ2" s="45"/>
      <c r="AK2" s="29" t="str">
        <f>E2</f>
        <v>Data Reported As of: February 18, 2026</v>
      </c>
      <c r="AX2" s="29" t="str">
        <f>E2</f>
        <v>Data Reported As of: February 18, 2026</v>
      </c>
    </row>
    <row r="3" spans="1:64" ht="10.5" customHeight="1" thickBot="1" x14ac:dyDescent="0.25">
      <c r="E3" s="29"/>
      <c r="AH3" s="45"/>
      <c r="AI3" s="45"/>
      <c r="AJ3" s="45"/>
      <c r="AK3" s="28"/>
      <c r="AL3" s="28"/>
    </row>
    <row r="4" spans="1:64" ht="15" customHeight="1" thickBot="1" x14ac:dyDescent="0.25">
      <c r="A4" s="262" t="s">
        <v>69</v>
      </c>
      <c r="B4" s="264" t="s">
        <v>77</v>
      </c>
      <c r="C4" s="265"/>
      <c r="D4" s="265"/>
      <c r="E4" s="265"/>
      <c r="F4" s="265"/>
      <c r="G4" s="265"/>
      <c r="H4" s="265"/>
      <c r="I4" s="265"/>
      <c r="J4" s="265"/>
      <c r="K4" s="265"/>
      <c r="L4" s="265"/>
      <c r="M4" s="265"/>
      <c r="N4" s="265"/>
      <c r="O4" s="266"/>
      <c r="P4" s="269" t="s">
        <v>73</v>
      </c>
      <c r="Q4" s="269"/>
      <c r="R4" s="269"/>
      <c r="S4" s="269"/>
      <c r="T4" s="269"/>
      <c r="U4" s="270"/>
      <c r="V4" s="268" t="s">
        <v>113</v>
      </c>
      <c r="W4" s="269"/>
      <c r="X4" s="269"/>
      <c r="Y4" s="269"/>
      <c r="Z4" s="269"/>
      <c r="AA4" s="269"/>
      <c r="AB4" s="269"/>
      <c r="AC4" s="270"/>
      <c r="AD4" s="294" t="s">
        <v>76</v>
      </c>
      <c r="AE4" s="295"/>
      <c r="AF4" s="295"/>
      <c r="AG4" s="295"/>
      <c r="AH4" s="295"/>
      <c r="AI4" s="295"/>
      <c r="AJ4" s="295"/>
      <c r="AK4" s="295"/>
      <c r="AL4" s="295"/>
      <c r="AM4" s="295"/>
      <c r="AN4" s="296"/>
      <c r="AO4" s="294" t="s">
        <v>92</v>
      </c>
      <c r="AP4" s="295"/>
      <c r="AQ4" s="295"/>
      <c r="AR4" s="295"/>
      <c r="AS4" s="295"/>
      <c r="AT4" s="296"/>
      <c r="AU4" s="294" t="s">
        <v>51</v>
      </c>
      <c r="AV4" s="295"/>
      <c r="AW4" s="296"/>
      <c r="AX4" s="268" t="s">
        <v>78</v>
      </c>
      <c r="AY4" s="269"/>
      <c r="AZ4" s="269"/>
      <c r="BA4" s="269"/>
      <c r="BB4" s="270"/>
      <c r="BC4" s="268" t="s">
        <v>53</v>
      </c>
      <c r="BD4" s="269"/>
      <c r="BE4" s="270"/>
      <c r="BF4" s="268" t="s">
        <v>108</v>
      </c>
      <c r="BG4" s="269"/>
      <c r="BH4" s="269"/>
      <c r="BI4" s="270"/>
      <c r="BJ4" s="268" t="s">
        <v>111</v>
      </c>
      <c r="BK4" s="269"/>
      <c r="BL4" s="270"/>
    </row>
    <row r="5" spans="1:64" ht="13.15" customHeight="1" thickTop="1" thickBot="1" x14ac:dyDescent="0.25">
      <c r="A5" s="263"/>
      <c r="B5" s="279" t="s">
        <v>99</v>
      </c>
      <c r="C5" s="280"/>
      <c r="D5" s="281" t="s">
        <v>68</v>
      </c>
      <c r="E5" s="280"/>
      <c r="F5" s="280"/>
      <c r="G5" s="280"/>
      <c r="H5" s="282" t="s">
        <v>70</v>
      </c>
      <c r="I5" s="280"/>
      <c r="J5" s="281" t="s">
        <v>95</v>
      </c>
      <c r="K5" s="283"/>
      <c r="L5" s="174" t="s">
        <v>72</v>
      </c>
      <c r="M5" s="284" t="s">
        <v>87</v>
      </c>
      <c r="N5" s="284"/>
      <c r="O5" s="285"/>
      <c r="P5" s="267" t="s">
        <v>100</v>
      </c>
      <c r="Q5" s="278"/>
      <c r="R5" s="267" t="s">
        <v>71</v>
      </c>
      <c r="S5" s="267"/>
      <c r="T5" s="289" t="s">
        <v>96</v>
      </c>
      <c r="U5" s="278"/>
      <c r="V5" s="276" t="s">
        <v>114</v>
      </c>
      <c r="W5" s="277"/>
      <c r="X5" s="288" t="s">
        <v>74</v>
      </c>
      <c r="Y5" s="288"/>
      <c r="Z5" s="288"/>
      <c r="AA5" s="288"/>
      <c r="AB5" s="288"/>
      <c r="AC5" s="287"/>
      <c r="AD5" s="286" t="s">
        <v>49</v>
      </c>
      <c r="AE5" s="288"/>
      <c r="AF5" s="288"/>
      <c r="AG5" s="288"/>
      <c r="AH5" s="287"/>
      <c r="AI5" s="286" t="s">
        <v>91</v>
      </c>
      <c r="AJ5" s="287"/>
      <c r="AK5" s="286" t="s">
        <v>84</v>
      </c>
      <c r="AL5" s="288"/>
      <c r="AM5" s="288"/>
      <c r="AN5" s="287"/>
      <c r="AO5" s="274" t="s">
        <v>49</v>
      </c>
      <c r="AP5" s="275"/>
      <c r="AQ5" s="286" t="s">
        <v>91</v>
      </c>
      <c r="AR5" s="288"/>
      <c r="AS5" s="276" t="s">
        <v>50</v>
      </c>
      <c r="AT5" s="277"/>
      <c r="AU5" s="271" t="s">
        <v>91</v>
      </c>
      <c r="AV5" s="272"/>
      <c r="AW5" s="150" t="s">
        <v>50</v>
      </c>
      <c r="AX5" s="286" t="s">
        <v>52</v>
      </c>
      <c r="AY5" s="288"/>
      <c r="AZ5" s="287"/>
      <c r="BA5" s="286" t="s">
        <v>91</v>
      </c>
      <c r="BB5" s="288"/>
      <c r="BC5" s="148" t="s">
        <v>54</v>
      </c>
      <c r="BD5" s="286" t="s">
        <v>91</v>
      </c>
      <c r="BE5" s="288"/>
      <c r="BF5" s="268" t="s">
        <v>98</v>
      </c>
      <c r="BG5" s="269"/>
      <c r="BH5" s="268" t="s">
        <v>97</v>
      </c>
      <c r="BI5" s="270"/>
      <c r="BJ5" s="268" t="s">
        <v>62</v>
      </c>
      <c r="BK5" s="269"/>
      <c r="BL5" s="270"/>
    </row>
    <row r="6" spans="1:64" s="2" customFormat="1" ht="49.9" customHeight="1" thickBot="1" x14ac:dyDescent="0.25">
      <c r="A6" s="205" t="s">
        <v>37</v>
      </c>
      <c r="B6" s="79" t="s">
        <v>198</v>
      </c>
      <c r="C6" s="81" t="s">
        <v>168</v>
      </c>
      <c r="D6" s="142" t="s">
        <v>199</v>
      </c>
      <c r="E6" s="80" t="s">
        <v>169</v>
      </c>
      <c r="F6" s="79" t="s">
        <v>200</v>
      </c>
      <c r="G6" s="162" t="s">
        <v>170</v>
      </c>
      <c r="H6" s="141" t="s">
        <v>201</v>
      </c>
      <c r="I6" s="162" t="s">
        <v>171</v>
      </c>
      <c r="J6" s="169" t="s">
        <v>202</v>
      </c>
      <c r="K6" s="162" t="s">
        <v>172</v>
      </c>
      <c r="L6" s="175" t="s">
        <v>173</v>
      </c>
      <c r="M6" s="141" t="s">
        <v>203</v>
      </c>
      <c r="N6" s="82" t="s">
        <v>174</v>
      </c>
      <c r="O6" s="228" t="s">
        <v>175</v>
      </c>
      <c r="P6" s="141" t="s">
        <v>204</v>
      </c>
      <c r="Q6" s="81" t="s">
        <v>176</v>
      </c>
      <c r="R6" s="142" t="s">
        <v>205</v>
      </c>
      <c r="S6" s="162" t="s">
        <v>177</v>
      </c>
      <c r="T6" s="141" t="s">
        <v>203</v>
      </c>
      <c r="U6" s="91" t="s">
        <v>174</v>
      </c>
      <c r="V6" s="79" t="s">
        <v>206</v>
      </c>
      <c r="W6" s="162" t="s">
        <v>178</v>
      </c>
      <c r="X6" s="161" t="s">
        <v>154</v>
      </c>
      <c r="Y6" s="84" t="s">
        <v>155</v>
      </c>
      <c r="Z6" s="84" t="s">
        <v>156</v>
      </c>
      <c r="AA6" s="84" t="s">
        <v>157</v>
      </c>
      <c r="AB6" s="84" t="s">
        <v>158</v>
      </c>
      <c r="AC6" s="85" t="s">
        <v>166</v>
      </c>
      <c r="AD6" s="86" t="s">
        <v>179</v>
      </c>
      <c r="AE6" s="80" t="s">
        <v>180</v>
      </c>
      <c r="AF6" s="80" t="s">
        <v>181</v>
      </c>
      <c r="AG6" s="80" t="s">
        <v>182</v>
      </c>
      <c r="AH6" s="80" t="s">
        <v>183</v>
      </c>
      <c r="AI6" s="48" t="s">
        <v>207</v>
      </c>
      <c r="AJ6" s="23" t="s">
        <v>184</v>
      </c>
      <c r="AK6" s="16" t="s">
        <v>159</v>
      </c>
      <c r="AL6" s="16" t="s">
        <v>160</v>
      </c>
      <c r="AM6" s="16" t="s">
        <v>161</v>
      </c>
      <c r="AN6" s="26" t="s">
        <v>167</v>
      </c>
      <c r="AO6" s="17" t="s">
        <v>185</v>
      </c>
      <c r="AP6" s="15" t="s">
        <v>186</v>
      </c>
      <c r="AQ6" s="48" t="s">
        <v>208</v>
      </c>
      <c r="AR6" s="23" t="s">
        <v>187</v>
      </c>
      <c r="AS6" s="152" t="s">
        <v>162</v>
      </c>
      <c r="AT6" s="151" t="s">
        <v>163</v>
      </c>
      <c r="AU6" s="50" t="s">
        <v>209</v>
      </c>
      <c r="AV6" s="23" t="s">
        <v>188</v>
      </c>
      <c r="AW6" s="149" t="s">
        <v>164</v>
      </c>
      <c r="AX6" s="20" t="s">
        <v>189</v>
      </c>
      <c r="AY6" s="20" t="s">
        <v>190</v>
      </c>
      <c r="AZ6" s="49" t="s">
        <v>191</v>
      </c>
      <c r="BA6" s="83" t="s">
        <v>210</v>
      </c>
      <c r="BB6" s="24" t="s">
        <v>192</v>
      </c>
      <c r="BC6" s="17" t="s">
        <v>193</v>
      </c>
      <c r="BD6" s="50" t="s">
        <v>211</v>
      </c>
      <c r="BE6" s="23" t="s">
        <v>194</v>
      </c>
      <c r="BF6" s="61" t="s">
        <v>212</v>
      </c>
      <c r="BG6" s="62" t="s">
        <v>195</v>
      </c>
      <c r="BH6" s="61" t="s">
        <v>213</v>
      </c>
      <c r="BI6" s="77" t="s">
        <v>196</v>
      </c>
      <c r="BJ6" s="61" t="s">
        <v>214</v>
      </c>
      <c r="BK6" s="139" t="s">
        <v>197</v>
      </c>
      <c r="BL6" s="206" t="s">
        <v>165</v>
      </c>
    </row>
    <row r="7" spans="1:64" s="54" customFormat="1" ht="24" customHeight="1" x14ac:dyDescent="0.25">
      <c r="A7" s="233" t="s">
        <v>104</v>
      </c>
      <c r="B7" s="234" t="s">
        <v>118</v>
      </c>
      <c r="C7" s="235" t="s">
        <v>119</v>
      </c>
      <c r="D7" s="236" t="s">
        <v>117</v>
      </c>
      <c r="E7" s="237" t="s">
        <v>117</v>
      </c>
      <c r="F7" s="237" t="s">
        <v>120</v>
      </c>
      <c r="G7" s="237" t="s">
        <v>120</v>
      </c>
      <c r="H7" s="238" t="s">
        <v>65</v>
      </c>
      <c r="I7" s="239" t="s">
        <v>65</v>
      </c>
      <c r="J7" s="238" t="s">
        <v>45</v>
      </c>
      <c r="K7" s="240" t="s">
        <v>45</v>
      </c>
      <c r="L7" s="241" t="s">
        <v>55</v>
      </c>
      <c r="M7" s="238" t="s">
        <v>44</v>
      </c>
      <c r="N7" s="238" t="s">
        <v>44</v>
      </c>
      <c r="O7" s="242" t="s">
        <v>89</v>
      </c>
      <c r="P7" s="243" t="s">
        <v>67</v>
      </c>
      <c r="Q7" s="238" t="s">
        <v>67</v>
      </c>
      <c r="R7" s="244" t="s">
        <v>66</v>
      </c>
      <c r="S7" s="239" t="s">
        <v>66</v>
      </c>
      <c r="T7" s="238" t="s">
        <v>44</v>
      </c>
      <c r="U7" s="238" t="s">
        <v>44</v>
      </c>
      <c r="V7" s="245" t="s">
        <v>44</v>
      </c>
      <c r="W7" s="246" t="s">
        <v>44</v>
      </c>
      <c r="X7" s="247" t="s">
        <v>75</v>
      </c>
      <c r="Y7" s="248" t="s">
        <v>80</v>
      </c>
      <c r="Z7" s="248" t="s">
        <v>81</v>
      </c>
      <c r="AA7" s="248" t="s">
        <v>82</v>
      </c>
      <c r="AB7" s="249" t="s">
        <v>107</v>
      </c>
      <c r="AC7" s="242" t="s">
        <v>90</v>
      </c>
      <c r="AD7" s="250" t="s">
        <v>121</v>
      </c>
      <c r="AE7" s="247" t="s">
        <v>56</v>
      </c>
      <c r="AF7" s="247" t="s">
        <v>57</v>
      </c>
      <c r="AG7" s="251" t="s">
        <v>58</v>
      </c>
      <c r="AH7" s="249" t="s">
        <v>122</v>
      </c>
      <c r="AI7" s="252" t="s">
        <v>44</v>
      </c>
      <c r="AJ7" s="252" t="s">
        <v>44</v>
      </c>
      <c r="AK7" s="252" t="s">
        <v>83</v>
      </c>
      <c r="AL7" s="238" t="s">
        <v>85</v>
      </c>
      <c r="AM7" s="253" t="s">
        <v>59</v>
      </c>
      <c r="AN7" s="254" t="s">
        <v>86</v>
      </c>
      <c r="AO7" s="255" t="s">
        <v>123</v>
      </c>
      <c r="AP7" s="238" t="s">
        <v>79</v>
      </c>
      <c r="AQ7" s="238" t="s">
        <v>44</v>
      </c>
      <c r="AR7" s="238" t="s">
        <v>44</v>
      </c>
      <c r="AS7" s="256" t="s">
        <v>93</v>
      </c>
      <c r="AT7" s="238" t="s">
        <v>94</v>
      </c>
      <c r="AU7" s="257" t="s">
        <v>44</v>
      </c>
      <c r="AV7" s="258" t="s">
        <v>88</v>
      </c>
      <c r="AW7" s="259" t="s">
        <v>60</v>
      </c>
      <c r="AX7" s="238" t="s">
        <v>63</v>
      </c>
      <c r="AY7" s="238" t="s">
        <v>64</v>
      </c>
      <c r="AZ7" s="238" t="s">
        <v>61</v>
      </c>
      <c r="BA7" s="238" t="s">
        <v>44</v>
      </c>
      <c r="BB7" s="259" t="s">
        <v>44</v>
      </c>
      <c r="BC7" s="237" t="s">
        <v>124</v>
      </c>
      <c r="BD7" s="238" t="s">
        <v>44</v>
      </c>
      <c r="BE7" s="259" t="s">
        <v>44</v>
      </c>
      <c r="BF7" s="238" t="s">
        <v>46</v>
      </c>
      <c r="BG7" s="238" t="s">
        <v>46</v>
      </c>
      <c r="BH7" s="260" t="s">
        <v>44</v>
      </c>
      <c r="BI7" s="238" t="s">
        <v>44</v>
      </c>
      <c r="BJ7" s="260" t="s">
        <v>47</v>
      </c>
      <c r="BK7" s="259" t="s">
        <v>48</v>
      </c>
      <c r="BL7" s="261" t="s">
        <v>112</v>
      </c>
    </row>
    <row r="8" spans="1:64" s="54" customFormat="1" ht="18" customHeight="1" x14ac:dyDescent="0.2">
      <c r="A8" s="207" t="s">
        <v>36</v>
      </c>
      <c r="B8" s="229"/>
      <c r="C8" s="51"/>
      <c r="D8" s="51"/>
      <c r="E8" s="51"/>
      <c r="F8" s="51"/>
      <c r="G8" s="138"/>
      <c r="H8" s="52"/>
      <c r="I8" s="138"/>
      <c r="J8" s="52"/>
      <c r="K8" s="138"/>
      <c r="L8" s="176"/>
      <c r="M8" s="52"/>
      <c r="N8" s="51"/>
      <c r="O8" s="208"/>
      <c r="P8" s="52"/>
      <c r="Q8" s="138"/>
      <c r="R8" s="53"/>
      <c r="S8" s="138"/>
      <c r="T8" s="52"/>
      <c r="U8" s="51"/>
      <c r="V8" s="51"/>
      <c r="W8" s="163"/>
      <c r="X8" s="52"/>
      <c r="Y8" s="52"/>
      <c r="Z8" s="52"/>
      <c r="AA8" s="52"/>
      <c r="AB8" s="52"/>
      <c r="AC8" s="53"/>
      <c r="AD8" s="52"/>
      <c r="AE8" s="52"/>
      <c r="AF8" s="52"/>
      <c r="AG8" s="52"/>
      <c r="AH8" s="52"/>
      <c r="AI8" s="52"/>
      <c r="AJ8" s="52"/>
      <c r="AK8" s="52"/>
      <c r="AL8" s="52"/>
      <c r="AM8" s="52"/>
      <c r="AN8" s="52"/>
      <c r="AO8" s="52"/>
      <c r="AP8" s="52"/>
      <c r="AQ8" s="52"/>
      <c r="AR8" s="52"/>
      <c r="AS8" s="52"/>
      <c r="AT8" s="52"/>
      <c r="AU8" s="52"/>
      <c r="AV8" s="52"/>
      <c r="AW8" s="52"/>
      <c r="AX8" s="135"/>
      <c r="AY8" s="52"/>
      <c r="AZ8" s="52"/>
      <c r="BA8" s="52"/>
      <c r="BB8" s="53"/>
      <c r="BC8" s="52"/>
      <c r="BD8" s="52"/>
      <c r="BE8" s="52"/>
      <c r="BF8" s="52"/>
      <c r="BG8" s="52"/>
      <c r="BH8" s="52"/>
      <c r="BI8" s="52"/>
      <c r="BJ8" s="51"/>
      <c r="BK8" s="53"/>
      <c r="BL8" s="208"/>
    </row>
    <row r="9" spans="1:64" x14ac:dyDescent="0.2">
      <c r="A9" s="209" t="s">
        <v>101</v>
      </c>
      <c r="B9" s="65">
        <v>11350828</v>
      </c>
      <c r="C9" s="143">
        <v>8432474</v>
      </c>
      <c r="D9" s="210">
        <v>0</v>
      </c>
      <c r="E9" s="210">
        <v>0</v>
      </c>
      <c r="F9" s="66">
        <v>656279</v>
      </c>
      <c r="G9" s="143">
        <v>484523</v>
      </c>
      <c r="H9" s="210">
        <v>0</v>
      </c>
      <c r="I9" s="170">
        <v>0</v>
      </c>
      <c r="J9" s="210">
        <v>0</v>
      </c>
      <c r="K9" s="170">
        <v>0</v>
      </c>
      <c r="L9" s="177">
        <v>835999</v>
      </c>
      <c r="M9" s="66">
        <v>12007107</v>
      </c>
      <c r="N9" s="66">
        <v>8916997</v>
      </c>
      <c r="O9" s="67">
        <v>8080998</v>
      </c>
      <c r="P9" s="210">
        <v>0</v>
      </c>
      <c r="Q9" s="170">
        <v>0</v>
      </c>
      <c r="R9" s="210">
        <v>0</v>
      </c>
      <c r="S9" s="170">
        <v>0</v>
      </c>
      <c r="T9" s="36">
        <v>0</v>
      </c>
      <c r="U9" s="36">
        <v>0</v>
      </c>
      <c r="V9" s="35">
        <v>12007107</v>
      </c>
      <c r="W9" s="164">
        <v>8080998</v>
      </c>
      <c r="X9" s="211">
        <v>1189.5</v>
      </c>
      <c r="Y9" s="211">
        <v>0</v>
      </c>
      <c r="Z9" s="211">
        <v>38</v>
      </c>
      <c r="AA9" s="211">
        <v>0</v>
      </c>
      <c r="AB9" s="210">
        <v>1227.5</v>
      </c>
      <c r="AC9" s="32">
        <v>0.18408128069583474</v>
      </c>
      <c r="AD9" s="34">
        <v>6792130</v>
      </c>
      <c r="AE9" s="34">
        <v>689304</v>
      </c>
      <c r="AF9" s="34">
        <v>3731857</v>
      </c>
      <c r="AG9" s="34">
        <v>0</v>
      </c>
      <c r="AH9" s="9">
        <v>11213291</v>
      </c>
      <c r="AI9" s="210">
        <v>22426582</v>
      </c>
      <c r="AJ9" s="9">
        <v>11213291</v>
      </c>
      <c r="AK9" s="212">
        <v>1744</v>
      </c>
      <c r="AL9" s="212">
        <v>0</v>
      </c>
      <c r="AM9" s="212">
        <v>6668.25</v>
      </c>
      <c r="AN9" s="32">
        <v>0.26153788475237133</v>
      </c>
      <c r="AO9" s="210">
        <v>9151798</v>
      </c>
      <c r="AP9" s="210">
        <v>0</v>
      </c>
      <c r="AQ9" s="210">
        <v>18303596</v>
      </c>
      <c r="AR9" s="153">
        <v>9151798</v>
      </c>
      <c r="AS9" s="210">
        <v>2934.5</v>
      </c>
      <c r="AT9" s="87">
        <v>0</v>
      </c>
      <c r="AU9" s="210">
        <v>0</v>
      </c>
      <c r="AV9" s="87">
        <v>0</v>
      </c>
      <c r="AW9" s="136">
        <v>0</v>
      </c>
      <c r="AX9" s="210">
        <v>17504</v>
      </c>
      <c r="AY9" s="210">
        <v>1124569</v>
      </c>
      <c r="AZ9" s="210">
        <v>199094</v>
      </c>
      <c r="BA9" s="210">
        <v>2682334</v>
      </c>
      <c r="BB9" s="22">
        <v>1341167</v>
      </c>
      <c r="BC9" s="210">
        <v>356380</v>
      </c>
      <c r="BD9" s="7">
        <v>475173.33333333331</v>
      </c>
      <c r="BE9" s="18">
        <v>356380</v>
      </c>
      <c r="BF9" s="34">
        <v>0</v>
      </c>
      <c r="BG9" s="34">
        <v>0</v>
      </c>
      <c r="BH9" s="210">
        <v>0</v>
      </c>
      <c r="BI9" s="212">
        <v>0</v>
      </c>
      <c r="BJ9" s="140">
        <v>55894725</v>
      </c>
      <c r="BK9" s="18">
        <v>30143633</v>
      </c>
      <c r="BL9" s="136">
        <v>4678.5</v>
      </c>
    </row>
    <row r="10" spans="1:64" x14ac:dyDescent="0.2">
      <c r="A10" s="209" t="s">
        <v>0</v>
      </c>
      <c r="B10" s="65">
        <v>10176035</v>
      </c>
      <c r="C10" s="143">
        <v>5118012</v>
      </c>
      <c r="D10" s="210">
        <v>0</v>
      </c>
      <c r="E10" s="210">
        <v>0</v>
      </c>
      <c r="F10" s="36">
        <v>0</v>
      </c>
      <c r="G10" s="144">
        <v>0</v>
      </c>
      <c r="H10" s="210">
        <v>0</v>
      </c>
      <c r="I10" s="170">
        <v>0</v>
      </c>
      <c r="J10" s="210">
        <v>0</v>
      </c>
      <c r="K10" s="170">
        <v>0</v>
      </c>
      <c r="L10" s="177">
        <v>965690</v>
      </c>
      <c r="M10" s="66">
        <v>10176035</v>
      </c>
      <c r="N10" s="66">
        <v>5118012</v>
      </c>
      <c r="O10" s="67">
        <v>4152322</v>
      </c>
      <c r="P10" s="210">
        <v>0</v>
      </c>
      <c r="Q10" s="170">
        <v>0</v>
      </c>
      <c r="R10" s="210">
        <v>0</v>
      </c>
      <c r="S10" s="170">
        <v>0</v>
      </c>
      <c r="T10" s="36">
        <v>0</v>
      </c>
      <c r="U10" s="36">
        <v>0</v>
      </c>
      <c r="V10" s="35">
        <v>10176035</v>
      </c>
      <c r="W10" s="164">
        <v>4152322</v>
      </c>
      <c r="X10" s="211">
        <v>857.25</v>
      </c>
      <c r="Y10" s="211">
        <v>0</v>
      </c>
      <c r="Z10" s="211">
        <v>0</v>
      </c>
      <c r="AA10" s="211">
        <v>0</v>
      </c>
      <c r="AB10" s="210">
        <v>857.25</v>
      </c>
      <c r="AC10" s="32">
        <v>0.49451975771560425</v>
      </c>
      <c r="AD10" s="34">
        <v>6514362</v>
      </c>
      <c r="AE10" s="34">
        <v>1911210</v>
      </c>
      <c r="AF10" s="34">
        <v>5382404</v>
      </c>
      <c r="AG10" s="34">
        <v>776571</v>
      </c>
      <c r="AH10" s="9">
        <v>14584547</v>
      </c>
      <c r="AI10" s="210">
        <v>29169094</v>
      </c>
      <c r="AJ10" s="9">
        <v>14584547</v>
      </c>
      <c r="AK10" s="212">
        <v>918</v>
      </c>
      <c r="AL10" s="212">
        <v>2794</v>
      </c>
      <c r="AM10" s="212">
        <v>1733.5</v>
      </c>
      <c r="AN10" s="32">
        <v>0.52956446495529275</v>
      </c>
      <c r="AO10" s="210">
        <v>270024</v>
      </c>
      <c r="AP10" s="210">
        <v>0</v>
      </c>
      <c r="AQ10" s="210">
        <v>540048</v>
      </c>
      <c r="AR10" s="153">
        <v>270024</v>
      </c>
      <c r="AS10" s="210">
        <v>63.25</v>
      </c>
      <c r="AT10" s="87">
        <v>0</v>
      </c>
      <c r="AU10" s="210">
        <v>46734</v>
      </c>
      <c r="AV10" s="87">
        <v>23367</v>
      </c>
      <c r="AW10" s="210">
        <v>7.5</v>
      </c>
      <c r="AX10" s="140">
        <v>0</v>
      </c>
      <c r="AY10" s="210">
        <v>1092345</v>
      </c>
      <c r="AZ10" s="210">
        <v>115443</v>
      </c>
      <c r="BA10" s="210">
        <v>2415576</v>
      </c>
      <c r="BB10" s="22">
        <v>1207788</v>
      </c>
      <c r="BC10" s="210">
        <v>950458</v>
      </c>
      <c r="BD10" s="7">
        <v>1267277.3333333333</v>
      </c>
      <c r="BE10" s="18">
        <v>950458</v>
      </c>
      <c r="BF10" s="34">
        <v>0</v>
      </c>
      <c r="BG10" s="34">
        <v>0</v>
      </c>
      <c r="BH10" s="210">
        <v>0</v>
      </c>
      <c r="BI10" s="22">
        <v>0</v>
      </c>
      <c r="BJ10" s="210">
        <v>43614740</v>
      </c>
      <c r="BK10" s="18">
        <v>21188506</v>
      </c>
      <c r="BL10" s="136">
        <v>981.25</v>
      </c>
    </row>
    <row r="11" spans="1:64" x14ac:dyDescent="0.2">
      <c r="A11" s="209" t="s">
        <v>125</v>
      </c>
      <c r="B11" s="65">
        <v>49022889</v>
      </c>
      <c r="C11" s="143">
        <v>33594165</v>
      </c>
      <c r="D11" s="210">
        <v>7662577</v>
      </c>
      <c r="E11" s="210">
        <v>5108084</v>
      </c>
      <c r="F11" s="66">
        <v>8963004</v>
      </c>
      <c r="G11" s="143">
        <v>5964591</v>
      </c>
      <c r="H11" s="210">
        <v>0</v>
      </c>
      <c r="I11" s="170">
        <v>0</v>
      </c>
      <c r="J11" s="210">
        <v>0</v>
      </c>
      <c r="K11" s="170">
        <v>0</v>
      </c>
      <c r="L11" s="177">
        <v>4492</v>
      </c>
      <c r="M11" s="66">
        <v>65648470</v>
      </c>
      <c r="N11" s="66">
        <v>44666840</v>
      </c>
      <c r="O11" s="67">
        <v>44662348</v>
      </c>
      <c r="P11" s="210">
        <v>0</v>
      </c>
      <c r="Q11" s="170">
        <v>0</v>
      </c>
      <c r="R11" s="210">
        <v>0</v>
      </c>
      <c r="S11" s="170">
        <v>0</v>
      </c>
      <c r="T11" s="36">
        <v>0</v>
      </c>
      <c r="U11" s="36">
        <v>0</v>
      </c>
      <c r="V11" s="35">
        <v>65648470</v>
      </c>
      <c r="W11" s="164">
        <v>44662348</v>
      </c>
      <c r="X11" s="211">
        <v>2564.5</v>
      </c>
      <c r="Y11" s="211">
        <v>197</v>
      </c>
      <c r="Z11" s="211">
        <v>537.25</v>
      </c>
      <c r="AA11" s="211">
        <v>0</v>
      </c>
      <c r="AB11" s="210">
        <v>3298.75</v>
      </c>
      <c r="AC11" s="32">
        <v>0.36395983891432671</v>
      </c>
      <c r="AD11" s="34">
        <v>0</v>
      </c>
      <c r="AE11" s="34">
        <v>0</v>
      </c>
      <c r="AF11" s="34">
        <v>43975406</v>
      </c>
      <c r="AG11" s="34">
        <v>4881137</v>
      </c>
      <c r="AH11" s="9">
        <v>48856543</v>
      </c>
      <c r="AI11" s="210">
        <v>97713086</v>
      </c>
      <c r="AJ11" s="9">
        <v>48856543</v>
      </c>
      <c r="AK11" s="212">
        <v>3410</v>
      </c>
      <c r="AL11" s="212">
        <v>474.25</v>
      </c>
      <c r="AM11" s="212">
        <v>9063.5</v>
      </c>
      <c r="AN11" s="32">
        <v>0.37623434655486293</v>
      </c>
      <c r="AO11" s="210">
        <v>12190843</v>
      </c>
      <c r="AP11" s="210">
        <v>546988</v>
      </c>
      <c r="AQ11" s="210">
        <v>25475662</v>
      </c>
      <c r="AR11" s="153">
        <v>12737831</v>
      </c>
      <c r="AS11" s="210">
        <v>2692</v>
      </c>
      <c r="AT11" s="87">
        <v>24.25</v>
      </c>
      <c r="AU11" s="210">
        <v>688214</v>
      </c>
      <c r="AV11" s="87">
        <v>344107</v>
      </c>
      <c r="AW11" s="21">
        <v>49.75</v>
      </c>
      <c r="AX11" s="140">
        <v>205312</v>
      </c>
      <c r="AY11" s="210">
        <v>9271264</v>
      </c>
      <c r="AZ11" s="210">
        <v>0</v>
      </c>
      <c r="BA11" s="210">
        <v>18953152</v>
      </c>
      <c r="BB11" s="22">
        <v>9476576</v>
      </c>
      <c r="BC11" s="210">
        <v>12754823</v>
      </c>
      <c r="BD11" s="7">
        <v>17006430.666666668</v>
      </c>
      <c r="BE11" s="18">
        <v>12754823</v>
      </c>
      <c r="BF11" s="34">
        <v>0</v>
      </c>
      <c r="BG11" s="34">
        <v>0</v>
      </c>
      <c r="BH11" s="210">
        <v>0</v>
      </c>
      <c r="BI11" s="22">
        <v>0</v>
      </c>
      <c r="BJ11" s="210">
        <v>225485010</v>
      </c>
      <c r="BK11" s="18">
        <v>129508157</v>
      </c>
      <c r="BL11" s="136">
        <v>6102</v>
      </c>
    </row>
    <row r="12" spans="1:64" x14ac:dyDescent="0.2">
      <c r="A12" s="209" t="s">
        <v>126</v>
      </c>
      <c r="B12" s="65">
        <v>11302871</v>
      </c>
      <c r="C12" s="143">
        <v>8181894</v>
      </c>
      <c r="D12" s="210">
        <v>576705</v>
      </c>
      <c r="E12" s="210">
        <v>418289</v>
      </c>
      <c r="F12" s="66">
        <v>56996</v>
      </c>
      <c r="G12" s="143">
        <v>41191</v>
      </c>
      <c r="H12" s="210">
        <v>0</v>
      </c>
      <c r="I12" s="170">
        <v>0</v>
      </c>
      <c r="J12" s="210">
        <v>0</v>
      </c>
      <c r="K12" s="170">
        <v>0</v>
      </c>
      <c r="L12" s="177">
        <v>340651</v>
      </c>
      <c r="M12" s="66">
        <v>11936572</v>
      </c>
      <c r="N12" s="66">
        <v>8641374</v>
      </c>
      <c r="O12" s="67">
        <v>8300723</v>
      </c>
      <c r="P12" s="210">
        <v>0</v>
      </c>
      <c r="Q12" s="170">
        <v>0</v>
      </c>
      <c r="R12" s="210">
        <v>0</v>
      </c>
      <c r="S12" s="170">
        <v>0</v>
      </c>
      <c r="T12" s="36">
        <v>0</v>
      </c>
      <c r="U12" s="36">
        <v>0</v>
      </c>
      <c r="V12" s="35">
        <v>11936572</v>
      </c>
      <c r="W12" s="164">
        <v>8300723</v>
      </c>
      <c r="X12" s="211">
        <v>841.25</v>
      </c>
      <c r="Y12" s="211">
        <v>15.25</v>
      </c>
      <c r="Z12" s="211">
        <v>3.75</v>
      </c>
      <c r="AA12" s="211">
        <v>0</v>
      </c>
      <c r="AB12" s="210">
        <v>860.25</v>
      </c>
      <c r="AC12" s="32">
        <v>0.19629207073588134</v>
      </c>
      <c r="AD12" s="34">
        <v>4513488</v>
      </c>
      <c r="AE12" s="34">
        <v>345387</v>
      </c>
      <c r="AF12" s="34">
        <v>10931229</v>
      </c>
      <c r="AG12" s="34">
        <v>1013360</v>
      </c>
      <c r="AH12" s="9">
        <v>16803464</v>
      </c>
      <c r="AI12" s="210">
        <v>33606928</v>
      </c>
      <c r="AJ12" s="9">
        <v>16803464</v>
      </c>
      <c r="AK12" s="212">
        <v>2522</v>
      </c>
      <c r="AL12" s="212">
        <v>2057.75</v>
      </c>
      <c r="AM12" s="212">
        <v>4382.5</v>
      </c>
      <c r="AN12" s="32">
        <v>0.57547062179121511</v>
      </c>
      <c r="AO12" s="210">
        <v>0</v>
      </c>
      <c r="AP12" s="210">
        <v>0</v>
      </c>
      <c r="AQ12" s="210">
        <v>0</v>
      </c>
      <c r="AR12" s="154">
        <v>0</v>
      </c>
      <c r="AS12" s="210">
        <v>0</v>
      </c>
      <c r="AT12" s="87">
        <v>0</v>
      </c>
      <c r="AU12" s="210">
        <v>0</v>
      </c>
      <c r="AV12" s="87">
        <v>0</v>
      </c>
      <c r="AW12" s="136">
        <v>0</v>
      </c>
      <c r="AX12" s="210">
        <v>0</v>
      </c>
      <c r="AY12" s="210">
        <v>23494</v>
      </c>
      <c r="AZ12" s="210">
        <v>6032155</v>
      </c>
      <c r="BA12" s="210">
        <v>12111298</v>
      </c>
      <c r="BB12" s="22">
        <v>6055649</v>
      </c>
      <c r="BC12" s="210">
        <v>10547908</v>
      </c>
      <c r="BD12" s="7">
        <v>14063877.333333334</v>
      </c>
      <c r="BE12" s="18">
        <v>10547908</v>
      </c>
      <c r="BF12" s="34">
        <v>0</v>
      </c>
      <c r="BG12" s="34">
        <v>0</v>
      </c>
      <c r="BH12" s="210">
        <v>0</v>
      </c>
      <c r="BI12" s="22">
        <v>0</v>
      </c>
      <c r="BJ12" s="210">
        <v>71718664</v>
      </c>
      <c r="BK12" s="18">
        <v>41707744</v>
      </c>
      <c r="BL12" s="136">
        <v>2522</v>
      </c>
    </row>
    <row r="13" spans="1:64" x14ac:dyDescent="0.2">
      <c r="A13" s="209" t="s">
        <v>127</v>
      </c>
      <c r="B13" s="65">
        <v>529093640</v>
      </c>
      <c r="C13" s="143">
        <v>266536089</v>
      </c>
      <c r="D13" s="210">
        <v>0</v>
      </c>
      <c r="E13" s="210">
        <v>0</v>
      </c>
      <c r="F13" s="36">
        <v>0</v>
      </c>
      <c r="G13" s="144">
        <v>0</v>
      </c>
      <c r="H13" s="210">
        <v>148606</v>
      </c>
      <c r="I13" s="170">
        <v>77394</v>
      </c>
      <c r="J13" s="210">
        <v>0</v>
      </c>
      <c r="K13" s="170">
        <v>0</v>
      </c>
      <c r="L13" s="177">
        <v>2299127</v>
      </c>
      <c r="M13" s="66">
        <v>529242246</v>
      </c>
      <c r="N13" s="66">
        <v>266613483</v>
      </c>
      <c r="O13" s="67">
        <v>264314356</v>
      </c>
      <c r="P13" s="210">
        <v>0</v>
      </c>
      <c r="Q13" s="170">
        <v>0</v>
      </c>
      <c r="R13" s="210">
        <v>0</v>
      </c>
      <c r="S13" s="170">
        <v>0</v>
      </c>
      <c r="T13" s="36">
        <v>0</v>
      </c>
      <c r="U13" s="36">
        <v>0</v>
      </c>
      <c r="V13" s="35">
        <v>529242246</v>
      </c>
      <c r="W13" s="164">
        <v>264314356</v>
      </c>
      <c r="X13" s="211">
        <v>16619.5</v>
      </c>
      <c r="Y13" s="211">
        <v>1931.75</v>
      </c>
      <c r="Z13" s="211">
        <v>0</v>
      </c>
      <c r="AA13" s="211">
        <v>3.5</v>
      </c>
      <c r="AB13" s="210">
        <v>18554.75</v>
      </c>
      <c r="AC13" s="32">
        <v>0.52807621703926122</v>
      </c>
      <c r="AD13" s="34">
        <v>260062886</v>
      </c>
      <c r="AE13" s="34">
        <v>116312033</v>
      </c>
      <c r="AF13" s="34">
        <v>231550217</v>
      </c>
      <c r="AG13" s="34">
        <v>46696287</v>
      </c>
      <c r="AH13" s="9">
        <v>654621423</v>
      </c>
      <c r="AI13" s="210">
        <v>1309242846</v>
      </c>
      <c r="AJ13" s="9">
        <v>654621423</v>
      </c>
      <c r="AK13" s="212">
        <v>21097</v>
      </c>
      <c r="AL13" s="212">
        <v>11700.75</v>
      </c>
      <c r="AM13" s="212">
        <v>35136.5</v>
      </c>
      <c r="AN13" s="32">
        <v>0.60042975253653608</v>
      </c>
      <c r="AO13" s="210">
        <v>185379701</v>
      </c>
      <c r="AP13" s="210">
        <v>0</v>
      </c>
      <c r="AQ13" s="210">
        <v>370759402</v>
      </c>
      <c r="AR13" s="153">
        <v>185379701</v>
      </c>
      <c r="AS13" s="210">
        <v>13114</v>
      </c>
      <c r="AT13" s="87">
        <v>0</v>
      </c>
      <c r="AU13" s="210">
        <v>7103034</v>
      </c>
      <c r="AV13" s="87">
        <v>3551517</v>
      </c>
      <c r="AW13" s="136">
        <v>1180.25</v>
      </c>
      <c r="AX13" s="210">
        <v>0</v>
      </c>
      <c r="AY13" s="210">
        <v>25293684</v>
      </c>
      <c r="AZ13" s="210">
        <v>64940034</v>
      </c>
      <c r="BA13" s="210">
        <v>180467436</v>
      </c>
      <c r="BB13" s="22">
        <v>90233718</v>
      </c>
      <c r="BC13" s="210">
        <v>139092773</v>
      </c>
      <c r="BD13" s="7">
        <v>185457030.66666666</v>
      </c>
      <c r="BE13" s="18">
        <v>139092773</v>
      </c>
      <c r="BF13" s="34">
        <v>0</v>
      </c>
      <c r="BG13" s="34">
        <v>0</v>
      </c>
      <c r="BH13" s="210">
        <v>0</v>
      </c>
      <c r="BI13" s="22">
        <v>0</v>
      </c>
      <c r="BJ13" s="210">
        <v>2582271992</v>
      </c>
      <c r="BK13" s="18">
        <v>1337193488</v>
      </c>
      <c r="BL13" s="136">
        <v>34211</v>
      </c>
    </row>
    <row r="14" spans="1:64" x14ac:dyDescent="0.2">
      <c r="A14" s="209" t="s">
        <v>128</v>
      </c>
      <c r="B14" s="65">
        <v>32640647</v>
      </c>
      <c r="C14" s="143">
        <v>16436300</v>
      </c>
      <c r="D14" s="210">
        <v>8927114</v>
      </c>
      <c r="E14" s="210">
        <v>4495030</v>
      </c>
      <c r="F14" s="66">
        <v>-7398</v>
      </c>
      <c r="G14" s="143">
        <v>-5194</v>
      </c>
      <c r="H14" s="210">
        <v>0</v>
      </c>
      <c r="I14" s="170">
        <v>0</v>
      </c>
      <c r="J14" s="210">
        <v>0</v>
      </c>
      <c r="K14" s="170">
        <v>0</v>
      </c>
      <c r="L14" s="177">
        <v>94953</v>
      </c>
      <c r="M14" s="66">
        <v>41560363</v>
      </c>
      <c r="N14" s="66">
        <v>20926136</v>
      </c>
      <c r="O14" s="67">
        <v>20831183</v>
      </c>
      <c r="P14" s="210">
        <v>0</v>
      </c>
      <c r="Q14" s="170">
        <v>0</v>
      </c>
      <c r="R14" s="210">
        <v>0</v>
      </c>
      <c r="S14" s="170">
        <v>0</v>
      </c>
      <c r="T14" s="36">
        <v>0</v>
      </c>
      <c r="U14" s="36">
        <v>0</v>
      </c>
      <c r="V14" s="35">
        <v>41560363</v>
      </c>
      <c r="W14" s="164">
        <v>20831183</v>
      </c>
      <c r="X14" s="211">
        <v>1123.5</v>
      </c>
      <c r="Y14" s="211">
        <v>9</v>
      </c>
      <c r="Z14" s="211">
        <v>201.25</v>
      </c>
      <c r="AA14" s="211">
        <v>0</v>
      </c>
      <c r="AB14" s="210">
        <v>1333.75</v>
      </c>
      <c r="AC14" s="32">
        <v>0.53259458919836278</v>
      </c>
      <c r="AD14" s="34">
        <v>33653219</v>
      </c>
      <c r="AE14" s="34">
        <v>396930</v>
      </c>
      <c r="AF14" s="34">
        <v>25513720</v>
      </c>
      <c r="AG14" s="34">
        <v>4631876</v>
      </c>
      <c r="AH14" s="9">
        <v>64195745</v>
      </c>
      <c r="AI14" s="210">
        <v>128391490</v>
      </c>
      <c r="AJ14" s="9">
        <v>64195745</v>
      </c>
      <c r="AK14" s="212">
        <v>1333.75</v>
      </c>
      <c r="AL14" s="212">
        <v>1037.75</v>
      </c>
      <c r="AM14" s="212">
        <v>2504.25</v>
      </c>
      <c r="AN14" s="32">
        <v>0.53259458919836278</v>
      </c>
      <c r="AO14" s="210">
        <v>0</v>
      </c>
      <c r="AP14" s="210">
        <v>2664397</v>
      </c>
      <c r="AQ14" s="210">
        <v>5328794</v>
      </c>
      <c r="AR14" s="153">
        <v>2664397</v>
      </c>
      <c r="AS14" s="210">
        <v>1068.5</v>
      </c>
      <c r="AT14" s="87">
        <v>672.75</v>
      </c>
      <c r="AU14" s="210">
        <v>15262</v>
      </c>
      <c r="AV14" s="87">
        <v>7631</v>
      </c>
      <c r="AW14" s="136">
        <v>7.5</v>
      </c>
      <c r="AX14" s="210">
        <v>299074</v>
      </c>
      <c r="AY14" s="210">
        <v>0</v>
      </c>
      <c r="AZ14" s="210">
        <v>3075263</v>
      </c>
      <c r="BA14" s="210">
        <v>6748674</v>
      </c>
      <c r="BB14" s="22">
        <v>3374337</v>
      </c>
      <c r="BC14" s="210">
        <v>3626058</v>
      </c>
      <c r="BD14" s="7">
        <v>4834744</v>
      </c>
      <c r="BE14" s="18">
        <v>3626058</v>
      </c>
      <c r="BF14" s="34">
        <v>0</v>
      </c>
      <c r="BG14" s="34">
        <v>0</v>
      </c>
      <c r="BH14" s="210">
        <v>0</v>
      </c>
      <c r="BI14" s="22">
        <v>0</v>
      </c>
      <c r="BJ14" s="210">
        <v>186879313</v>
      </c>
      <c r="BK14" s="18">
        <v>94699348</v>
      </c>
      <c r="BL14" s="136">
        <v>2402.25</v>
      </c>
    </row>
    <row r="15" spans="1:64" ht="14.25" customHeight="1" x14ac:dyDescent="0.2">
      <c r="A15" s="209" t="s">
        <v>1</v>
      </c>
      <c r="B15" s="65">
        <v>16454772</v>
      </c>
      <c r="C15" s="143">
        <v>8218069</v>
      </c>
      <c r="D15" s="210">
        <v>949971</v>
      </c>
      <c r="E15" s="210">
        <v>483754</v>
      </c>
      <c r="F15" s="66">
        <v>1034543</v>
      </c>
      <c r="G15" s="143">
        <v>473989</v>
      </c>
      <c r="H15" s="210">
        <v>0</v>
      </c>
      <c r="I15" s="170">
        <v>0</v>
      </c>
      <c r="J15" s="210">
        <v>0</v>
      </c>
      <c r="K15" s="170">
        <v>0</v>
      </c>
      <c r="L15" s="177">
        <v>200000</v>
      </c>
      <c r="M15" s="66">
        <v>18439286</v>
      </c>
      <c r="N15" s="66">
        <v>9175812</v>
      </c>
      <c r="O15" s="67">
        <v>8975812</v>
      </c>
      <c r="P15" s="210">
        <v>0</v>
      </c>
      <c r="Q15" s="170">
        <v>0</v>
      </c>
      <c r="R15" s="210">
        <v>0</v>
      </c>
      <c r="S15" s="170">
        <v>0</v>
      </c>
      <c r="T15" s="36">
        <v>0</v>
      </c>
      <c r="U15" s="36">
        <v>0</v>
      </c>
      <c r="V15" s="35">
        <v>18439286</v>
      </c>
      <c r="W15" s="164">
        <v>8975812</v>
      </c>
      <c r="X15" s="211">
        <v>931.25</v>
      </c>
      <c r="Y15" s="211">
        <v>20</v>
      </c>
      <c r="Z15" s="211">
        <v>8.75</v>
      </c>
      <c r="AA15" s="211">
        <v>0</v>
      </c>
      <c r="AB15" s="210">
        <v>960</v>
      </c>
      <c r="AC15" s="32">
        <v>0.3126017583848909</v>
      </c>
      <c r="AD15" s="34">
        <v>23402768</v>
      </c>
      <c r="AE15" s="34">
        <v>295324</v>
      </c>
      <c r="AF15" s="34">
        <v>0</v>
      </c>
      <c r="AG15" s="34">
        <v>0</v>
      </c>
      <c r="AH15" s="9">
        <v>23698092</v>
      </c>
      <c r="AI15" s="210">
        <v>47396184</v>
      </c>
      <c r="AJ15" s="9">
        <v>23698092</v>
      </c>
      <c r="AK15" s="212">
        <v>1153.75</v>
      </c>
      <c r="AL15" s="212">
        <v>0</v>
      </c>
      <c r="AM15" s="212">
        <v>3071</v>
      </c>
      <c r="AN15" s="32">
        <v>0.37569195701725822</v>
      </c>
      <c r="AO15" s="210">
        <v>4682153</v>
      </c>
      <c r="AP15" s="210">
        <v>0</v>
      </c>
      <c r="AQ15" s="210">
        <v>9364306</v>
      </c>
      <c r="AR15" s="153">
        <v>4682153</v>
      </c>
      <c r="AS15" s="210">
        <v>312</v>
      </c>
      <c r="AT15" s="87">
        <v>0</v>
      </c>
      <c r="AU15" s="210">
        <v>414230</v>
      </c>
      <c r="AV15" s="87">
        <v>207115</v>
      </c>
      <c r="AW15" s="136">
        <v>73.25</v>
      </c>
      <c r="AX15" s="210">
        <v>0</v>
      </c>
      <c r="AY15" s="210">
        <v>2702051</v>
      </c>
      <c r="AZ15" s="210">
        <v>11165762</v>
      </c>
      <c r="BA15" s="210">
        <v>27735626</v>
      </c>
      <c r="BB15" s="22">
        <v>13867813</v>
      </c>
      <c r="BC15" s="210">
        <v>1238040</v>
      </c>
      <c r="BD15" s="7">
        <v>1650720</v>
      </c>
      <c r="BE15" s="18">
        <v>1238040</v>
      </c>
      <c r="BF15" s="34">
        <v>0</v>
      </c>
      <c r="BG15" s="34">
        <v>0</v>
      </c>
      <c r="BH15" s="210">
        <v>0</v>
      </c>
      <c r="BI15" s="22">
        <v>0</v>
      </c>
      <c r="BJ15" s="210">
        <v>105000321</v>
      </c>
      <c r="BK15" s="18">
        <v>52669024</v>
      </c>
      <c r="BL15" s="136">
        <v>1465.75</v>
      </c>
    </row>
    <row r="16" spans="1:64" x14ac:dyDescent="0.2">
      <c r="A16" s="209" t="s">
        <v>2</v>
      </c>
      <c r="B16" s="65">
        <v>1773497</v>
      </c>
      <c r="C16" s="143">
        <v>1066001</v>
      </c>
      <c r="D16" s="210">
        <v>0</v>
      </c>
      <c r="E16" s="210">
        <v>0</v>
      </c>
      <c r="F16" s="36">
        <v>0</v>
      </c>
      <c r="G16" s="144">
        <v>0</v>
      </c>
      <c r="H16" s="210">
        <v>0</v>
      </c>
      <c r="I16" s="170">
        <v>0</v>
      </c>
      <c r="J16" s="210">
        <v>0</v>
      </c>
      <c r="K16" s="170">
        <v>0</v>
      </c>
      <c r="L16" s="177">
        <v>69026</v>
      </c>
      <c r="M16" s="66">
        <v>1773497</v>
      </c>
      <c r="N16" s="66">
        <v>1066001</v>
      </c>
      <c r="O16" s="67">
        <v>996975</v>
      </c>
      <c r="P16" s="210">
        <v>0</v>
      </c>
      <c r="Q16" s="170">
        <v>0</v>
      </c>
      <c r="R16" s="210">
        <v>0</v>
      </c>
      <c r="S16" s="170">
        <v>0</v>
      </c>
      <c r="T16" s="36">
        <v>0</v>
      </c>
      <c r="U16" s="36">
        <v>0</v>
      </c>
      <c r="V16" s="35">
        <v>1773497</v>
      </c>
      <c r="W16" s="164">
        <v>996975</v>
      </c>
      <c r="X16" s="211">
        <v>189.75</v>
      </c>
      <c r="Y16" s="211">
        <v>0</v>
      </c>
      <c r="Z16" s="211">
        <v>0</v>
      </c>
      <c r="AA16" s="211">
        <v>0</v>
      </c>
      <c r="AB16" s="210">
        <v>189.75</v>
      </c>
      <c r="AC16" s="32">
        <v>0.31931005469078672</v>
      </c>
      <c r="AD16" s="34">
        <v>1142842</v>
      </c>
      <c r="AE16" s="34">
        <v>87989</v>
      </c>
      <c r="AF16" s="34">
        <v>95226</v>
      </c>
      <c r="AG16" s="34">
        <v>314916</v>
      </c>
      <c r="AH16" s="9">
        <v>1640973</v>
      </c>
      <c r="AI16" s="210">
        <v>3281946</v>
      </c>
      <c r="AJ16" s="9">
        <v>1640973</v>
      </c>
      <c r="AK16" s="212">
        <v>189.75</v>
      </c>
      <c r="AL16" s="212">
        <v>125.25</v>
      </c>
      <c r="AM16" s="212">
        <v>594.25</v>
      </c>
      <c r="AN16" s="32">
        <v>0.31931005469078672</v>
      </c>
      <c r="AO16" s="210">
        <v>0</v>
      </c>
      <c r="AP16" s="210">
        <v>0</v>
      </c>
      <c r="AQ16" s="210">
        <v>0</v>
      </c>
      <c r="AR16" s="154">
        <v>0</v>
      </c>
      <c r="AS16" s="210">
        <v>0</v>
      </c>
      <c r="AT16" s="87">
        <v>0</v>
      </c>
      <c r="AU16" s="210">
        <v>0</v>
      </c>
      <c r="AV16" s="87">
        <v>0</v>
      </c>
      <c r="AW16" s="136">
        <v>0</v>
      </c>
      <c r="AX16" s="210">
        <v>0</v>
      </c>
      <c r="AY16" s="210">
        <v>2201692</v>
      </c>
      <c r="AZ16" s="210">
        <v>995983</v>
      </c>
      <c r="BA16" s="210">
        <v>6395350</v>
      </c>
      <c r="BB16" s="22">
        <v>3197675</v>
      </c>
      <c r="BC16" s="210">
        <v>6936</v>
      </c>
      <c r="BD16" s="7">
        <v>9248</v>
      </c>
      <c r="BE16" s="18">
        <v>6936</v>
      </c>
      <c r="BF16" s="34">
        <v>0</v>
      </c>
      <c r="BG16" s="34">
        <v>0</v>
      </c>
      <c r="BH16" s="210">
        <v>0</v>
      </c>
      <c r="BI16" s="22">
        <v>0</v>
      </c>
      <c r="BJ16" s="210">
        <v>11460041</v>
      </c>
      <c r="BK16" s="18">
        <v>5842559</v>
      </c>
      <c r="BL16" s="136">
        <v>189.75</v>
      </c>
    </row>
    <row r="17" spans="1:64" ht="14.85" customHeight="1" x14ac:dyDescent="0.2">
      <c r="A17" s="209" t="s">
        <v>129</v>
      </c>
      <c r="B17" s="65">
        <v>4619970</v>
      </c>
      <c r="C17" s="143">
        <v>3325733</v>
      </c>
      <c r="D17" s="210">
        <v>179048</v>
      </c>
      <c r="E17" s="210">
        <v>136731</v>
      </c>
      <c r="F17" s="36">
        <v>0</v>
      </c>
      <c r="G17" s="144">
        <v>0</v>
      </c>
      <c r="H17" s="210">
        <v>0</v>
      </c>
      <c r="I17" s="170">
        <v>0</v>
      </c>
      <c r="J17" s="210">
        <v>0</v>
      </c>
      <c r="K17" s="170">
        <v>0</v>
      </c>
      <c r="L17" s="177">
        <v>25939</v>
      </c>
      <c r="M17" s="66">
        <v>4799018</v>
      </c>
      <c r="N17" s="66">
        <v>3462464</v>
      </c>
      <c r="O17" s="67">
        <v>3436525</v>
      </c>
      <c r="P17" s="210">
        <v>0</v>
      </c>
      <c r="Q17" s="170">
        <v>0</v>
      </c>
      <c r="R17" s="210">
        <v>0</v>
      </c>
      <c r="S17" s="170">
        <v>0</v>
      </c>
      <c r="T17" s="36">
        <v>0</v>
      </c>
      <c r="U17" s="36">
        <v>0</v>
      </c>
      <c r="V17" s="35">
        <v>4799018</v>
      </c>
      <c r="W17" s="164">
        <v>3436525</v>
      </c>
      <c r="X17" s="211">
        <v>229.25</v>
      </c>
      <c r="Y17" s="211">
        <v>2</v>
      </c>
      <c r="Z17" s="211">
        <v>0</v>
      </c>
      <c r="AA17" s="211">
        <v>0</v>
      </c>
      <c r="AB17" s="210">
        <v>231.25</v>
      </c>
      <c r="AC17" s="32">
        <v>0.49412393162393164</v>
      </c>
      <c r="AD17" s="34">
        <v>5091747</v>
      </c>
      <c r="AE17" s="34">
        <v>4594</v>
      </c>
      <c r="AF17" s="34">
        <v>14294971</v>
      </c>
      <c r="AG17" s="34">
        <v>0</v>
      </c>
      <c r="AH17" s="9">
        <v>19391312</v>
      </c>
      <c r="AI17" s="210">
        <v>38782624</v>
      </c>
      <c r="AJ17" s="9">
        <v>19391312</v>
      </c>
      <c r="AK17" s="212">
        <v>278</v>
      </c>
      <c r="AL17" s="212">
        <v>0</v>
      </c>
      <c r="AM17" s="212">
        <v>468</v>
      </c>
      <c r="AN17" s="32">
        <v>0.59401709401709402</v>
      </c>
      <c r="AO17" s="210">
        <v>0</v>
      </c>
      <c r="AP17" s="210">
        <v>0</v>
      </c>
      <c r="AQ17" s="210">
        <v>0</v>
      </c>
      <c r="AR17" s="153">
        <v>0</v>
      </c>
      <c r="AS17" s="210">
        <v>0</v>
      </c>
      <c r="AT17" s="87">
        <v>0</v>
      </c>
      <c r="AU17" s="210">
        <v>163450</v>
      </c>
      <c r="AV17" s="87">
        <v>81725</v>
      </c>
      <c r="AW17" s="136">
        <v>97.25</v>
      </c>
      <c r="AX17" s="210">
        <v>0</v>
      </c>
      <c r="AY17" s="210">
        <v>1502960</v>
      </c>
      <c r="AZ17" s="210">
        <v>10746782</v>
      </c>
      <c r="BA17" s="210">
        <v>24499484</v>
      </c>
      <c r="BB17" s="22">
        <v>12249742</v>
      </c>
      <c r="BC17" s="210">
        <v>517864</v>
      </c>
      <c r="BD17" s="7">
        <v>690485.33333333337</v>
      </c>
      <c r="BE17" s="18">
        <v>517864</v>
      </c>
      <c r="BF17" s="34">
        <v>0</v>
      </c>
      <c r="BG17" s="34">
        <v>0</v>
      </c>
      <c r="BH17" s="210">
        <v>0</v>
      </c>
      <c r="BI17" s="22">
        <v>0</v>
      </c>
      <c r="BJ17" s="210">
        <v>68935038</v>
      </c>
      <c r="BK17" s="18">
        <v>35677165</v>
      </c>
      <c r="BL17" s="136">
        <v>278</v>
      </c>
    </row>
    <row r="18" spans="1:64" x14ac:dyDescent="0.2">
      <c r="A18" s="209" t="s">
        <v>130</v>
      </c>
      <c r="B18" s="65">
        <v>52238411</v>
      </c>
      <c r="C18" s="143">
        <v>29926691</v>
      </c>
      <c r="D18" s="210">
        <v>54524614</v>
      </c>
      <c r="E18" s="210">
        <v>33878975</v>
      </c>
      <c r="F18" s="66">
        <v>-9018859</v>
      </c>
      <c r="G18" s="143">
        <v>-6546487</v>
      </c>
      <c r="H18" s="210">
        <v>0</v>
      </c>
      <c r="I18" s="170">
        <v>0</v>
      </c>
      <c r="J18" s="210">
        <v>0</v>
      </c>
      <c r="K18" s="170">
        <v>0</v>
      </c>
      <c r="L18" s="177">
        <v>13825</v>
      </c>
      <c r="M18" s="66">
        <v>97744166</v>
      </c>
      <c r="N18" s="66">
        <v>57259179</v>
      </c>
      <c r="O18" s="67">
        <v>57245354</v>
      </c>
      <c r="P18" s="210">
        <v>0</v>
      </c>
      <c r="Q18" s="170">
        <v>0</v>
      </c>
      <c r="R18" s="210">
        <v>0</v>
      </c>
      <c r="S18" s="170">
        <v>0</v>
      </c>
      <c r="T18" s="36">
        <v>0</v>
      </c>
      <c r="U18" s="36">
        <v>0</v>
      </c>
      <c r="V18" s="35">
        <v>97744166</v>
      </c>
      <c r="W18" s="164">
        <v>57245354</v>
      </c>
      <c r="X18" s="211">
        <v>5211.5</v>
      </c>
      <c r="Y18" s="211">
        <v>653.5</v>
      </c>
      <c r="Z18" s="211">
        <v>145.75</v>
      </c>
      <c r="AA18" s="211">
        <v>0</v>
      </c>
      <c r="AB18" s="210">
        <v>6010.75</v>
      </c>
      <c r="AC18" s="32">
        <v>0.28522450916424463</v>
      </c>
      <c r="AD18" s="34">
        <v>10276536</v>
      </c>
      <c r="AE18" s="34">
        <v>340421</v>
      </c>
      <c r="AF18" s="34">
        <v>101637037</v>
      </c>
      <c r="AG18" s="34">
        <v>25038243</v>
      </c>
      <c r="AH18" s="9">
        <v>137292237</v>
      </c>
      <c r="AI18" s="210">
        <v>274584474</v>
      </c>
      <c r="AJ18" s="9">
        <v>137292237</v>
      </c>
      <c r="AK18" s="212">
        <v>6010.75</v>
      </c>
      <c r="AL18" s="212">
        <v>9308</v>
      </c>
      <c r="AM18" s="212">
        <v>21073.75</v>
      </c>
      <c r="AN18" s="32">
        <v>0.28522450916424463</v>
      </c>
      <c r="AO18" s="210">
        <v>17131428</v>
      </c>
      <c r="AP18" s="210">
        <v>10187541</v>
      </c>
      <c r="AQ18" s="210">
        <v>54637938</v>
      </c>
      <c r="AR18" s="153">
        <v>27318969</v>
      </c>
      <c r="AS18" s="210">
        <v>7297.75</v>
      </c>
      <c r="AT18" s="87">
        <v>2662.25</v>
      </c>
      <c r="AU18" s="210">
        <v>-495728</v>
      </c>
      <c r="AV18" s="87">
        <v>-247864</v>
      </c>
      <c r="AW18" s="136">
        <v>1803.5</v>
      </c>
      <c r="AX18" s="210">
        <v>0</v>
      </c>
      <c r="AY18" s="210">
        <v>10175012</v>
      </c>
      <c r="AZ18" s="210">
        <v>0</v>
      </c>
      <c r="BA18" s="210">
        <v>20350024</v>
      </c>
      <c r="BB18" s="22">
        <v>10175012</v>
      </c>
      <c r="BC18" s="210">
        <v>6313677</v>
      </c>
      <c r="BD18" s="7">
        <v>8418236</v>
      </c>
      <c r="BE18" s="18">
        <v>6313677</v>
      </c>
      <c r="BF18" s="34">
        <v>0</v>
      </c>
      <c r="BG18" s="34">
        <v>0</v>
      </c>
      <c r="BH18" s="210">
        <v>0</v>
      </c>
      <c r="BI18" s="22">
        <v>0</v>
      </c>
      <c r="BJ18" s="210">
        <v>455239086</v>
      </c>
      <c r="BK18" s="18">
        <v>238097383</v>
      </c>
      <c r="BL18" s="136">
        <v>13308.5</v>
      </c>
    </row>
    <row r="19" spans="1:64" x14ac:dyDescent="0.2">
      <c r="A19" s="209" t="s">
        <v>3</v>
      </c>
      <c r="B19" s="65">
        <v>47227713</v>
      </c>
      <c r="C19" s="143">
        <v>31348865</v>
      </c>
      <c r="D19" s="210">
        <v>0</v>
      </c>
      <c r="E19" s="210">
        <v>0</v>
      </c>
      <c r="F19" s="66">
        <v>1633910</v>
      </c>
      <c r="G19" s="143">
        <v>1092085</v>
      </c>
      <c r="H19" s="210">
        <v>0</v>
      </c>
      <c r="I19" s="170">
        <v>0</v>
      </c>
      <c r="J19" s="210">
        <v>0</v>
      </c>
      <c r="K19" s="170">
        <v>0</v>
      </c>
      <c r="L19" s="177">
        <v>1763667</v>
      </c>
      <c r="M19" s="66">
        <v>48861623</v>
      </c>
      <c r="N19" s="66">
        <v>32440950</v>
      </c>
      <c r="O19" s="67">
        <v>30677283</v>
      </c>
      <c r="P19" s="210">
        <v>0</v>
      </c>
      <c r="Q19" s="170">
        <v>0</v>
      </c>
      <c r="R19" s="210">
        <v>0</v>
      </c>
      <c r="S19" s="170">
        <v>0</v>
      </c>
      <c r="T19" s="36">
        <v>0</v>
      </c>
      <c r="U19" s="36">
        <v>0</v>
      </c>
      <c r="V19" s="35">
        <v>48861623</v>
      </c>
      <c r="W19" s="164">
        <v>30677283</v>
      </c>
      <c r="X19" s="211">
        <v>3670.75</v>
      </c>
      <c r="Y19" s="211">
        <v>0</v>
      </c>
      <c r="Z19" s="211">
        <v>35</v>
      </c>
      <c r="AA19" s="211">
        <v>0</v>
      </c>
      <c r="AB19" s="210">
        <v>3705.75</v>
      </c>
      <c r="AC19" s="32">
        <v>0.32309603731636077</v>
      </c>
      <c r="AD19" s="34">
        <v>40337802</v>
      </c>
      <c r="AE19" s="34">
        <v>0</v>
      </c>
      <c r="AF19" s="34">
        <v>420098</v>
      </c>
      <c r="AG19" s="34">
        <v>0</v>
      </c>
      <c r="AH19" s="9">
        <v>40757900</v>
      </c>
      <c r="AI19" s="210">
        <v>81515800</v>
      </c>
      <c r="AJ19" s="9">
        <v>40757900</v>
      </c>
      <c r="AK19" s="212">
        <v>3749.25</v>
      </c>
      <c r="AL19" s="212">
        <v>0</v>
      </c>
      <c r="AM19" s="212">
        <v>11469.5</v>
      </c>
      <c r="AN19" s="32">
        <v>0.32688870482584242</v>
      </c>
      <c r="AO19" s="210">
        <v>0</v>
      </c>
      <c r="AP19" s="210">
        <v>0</v>
      </c>
      <c r="AQ19" s="210">
        <v>0</v>
      </c>
      <c r="AR19" s="154">
        <v>0</v>
      </c>
      <c r="AS19" s="210">
        <v>0</v>
      </c>
      <c r="AT19" s="87">
        <v>0</v>
      </c>
      <c r="AU19" s="210">
        <v>100516</v>
      </c>
      <c r="AV19" s="87">
        <v>50258</v>
      </c>
      <c r="AW19" s="136">
        <v>71.5</v>
      </c>
      <c r="AX19" s="210">
        <v>0</v>
      </c>
      <c r="AY19" s="210">
        <v>17531869</v>
      </c>
      <c r="AZ19" s="210">
        <v>0</v>
      </c>
      <c r="BA19" s="210">
        <v>35063738</v>
      </c>
      <c r="BB19" s="22">
        <v>17531869</v>
      </c>
      <c r="BC19" s="210">
        <v>672308</v>
      </c>
      <c r="BD19" s="7">
        <v>896410.66666666663</v>
      </c>
      <c r="BE19" s="18">
        <v>672308</v>
      </c>
      <c r="BF19" s="34">
        <v>0</v>
      </c>
      <c r="BG19" s="34">
        <v>0</v>
      </c>
      <c r="BH19" s="210">
        <v>0</v>
      </c>
      <c r="BI19" s="22">
        <v>0</v>
      </c>
      <c r="BJ19" s="210">
        <v>166438083</v>
      </c>
      <c r="BK19" s="18">
        <v>89689619</v>
      </c>
      <c r="BL19" s="136">
        <v>3749.25</v>
      </c>
    </row>
    <row r="20" spans="1:64" x14ac:dyDescent="0.2">
      <c r="A20" s="209" t="s">
        <v>131</v>
      </c>
      <c r="B20" s="65">
        <v>4650962</v>
      </c>
      <c r="C20" s="143">
        <v>2744296</v>
      </c>
      <c r="D20" s="210">
        <v>0</v>
      </c>
      <c r="E20" s="210">
        <v>0</v>
      </c>
      <c r="F20" s="36">
        <v>0</v>
      </c>
      <c r="G20" s="144">
        <v>0</v>
      </c>
      <c r="H20" s="210">
        <v>0</v>
      </c>
      <c r="I20" s="170">
        <v>0</v>
      </c>
      <c r="J20" s="210">
        <v>0</v>
      </c>
      <c r="K20" s="170">
        <v>0</v>
      </c>
      <c r="L20" s="177">
        <v>81190</v>
      </c>
      <c r="M20" s="66">
        <v>4650962</v>
      </c>
      <c r="N20" s="66">
        <v>2744296</v>
      </c>
      <c r="O20" s="67">
        <v>2663106</v>
      </c>
      <c r="P20" s="210">
        <v>0</v>
      </c>
      <c r="Q20" s="170">
        <v>0</v>
      </c>
      <c r="R20" s="210">
        <v>0</v>
      </c>
      <c r="S20" s="170">
        <v>0</v>
      </c>
      <c r="T20" s="36">
        <v>0</v>
      </c>
      <c r="U20" s="36">
        <v>0</v>
      </c>
      <c r="V20" s="35">
        <v>4650962</v>
      </c>
      <c r="W20" s="164">
        <v>2663106</v>
      </c>
      <c r="X20" s="211">
        <v>378.75</v>
      </c>
      <c r="Y20" s="211">
        <v>0</v>
      </c>
      <c r="Z20" s="211">
        <v>0</v>
      </c>
      <c r="AA20" s="211">
        <v>0</v>
      </c>
      <c r="AB20" s="210">
        <v>378.75</v>
      </c>
      <c r="AC20" s="32">
        <v>0.41839270919635457</v>
      </c>
      <c r="AD20" s="34">
        <v>5749088</v>
      </c>
      <c r="AE20" s="34">
        <v>954344</v>
      </c>
      <c r="AF20" s="34">
        <v>1112235</v>
      </c>
      <c r="AG20" s="34">
        <v>0</v>
      </c>
      <c r="AH20" s="9">
        <v>7815667</v>
      </c>
      <c r="AI20" s="210">
        <v>15631334</v>
      </c>
      <c r="AJ20" s="9">
        <v>7815667</v>
      </c>
      <c r="AK20" s="212">
        <v>389.5</v>
      </c>
      <c r="AL20" s="212">
        <v>0</v>
      </c>
      <c r="AM20" s="212">
        <v>905.25</v>
      </c>
      <c r="AN20" s="32">
        <v>0.43026788180060754</v>
      </c>
      <c r="AO20" s="210">
        <v>1840295</v>
      </c>
      <c r="AP20" s="210">
        <v>0</v>
      </c>
      <c r="AQ20" s="210">
        <v>3680590</v>
      </c>
      <c r="AR20" s="153">
        <v>1840295</v>
      </c>
      <c r="AS20" s="210">
        <v>350</v>
      </c>
      <c r="AT20" s="87">
        <v>0</v>
      </c>
      <c r="AU20" s="210">
        <v>0</v>
      </c>
      <c r="AV20" s="87">
        <v>0</v>
      </c>
      <c r="AW20" s="136">
        <v>0</v>
      </c>
      <c r="AX20" s="210">
        <v>55685</v>
      </c>
      <c r="AY20" s="210">
        <v>0</v>
      </c>
      <c r="AZ20" s="210">
        <v>992765</v>
      </c>
      <c r="BA20" s="210">
        <v>2096900</v>
      </c>
      <c r="BB20" s="22">
        <v>1048450</v>
      </c>
      <c r="BC20" s="210">
        <v>373930</v>
      </c>
      <c r="BD20" s="7">
        <v>498573.33333333331</v>
      </c>
      <c r="BE20" s="18">
        <v>373930</v>
      </c>
      <c r="BF20" s="34">
        <v>0</v>
      </c>
      <c r="BG20" s="34">
        <v>0</v>
      </c>
      <c r="BH20" s="210">
        <v>0</v>
      </c>
      <c r="BI20" s="22">
        <v>0</v>
      </c>
      <c r="BJ20" s="210">
        <v>26558340</v>
      </c>
      <c r="BK20" s="18">
        <v>13741448</v>
      </c>
      <c r="BL20" s="136">
        <v>739.5</v>
      </c>
    </row>
    <row r="21" spans="1:64" x14ac:dyDescent="0.2">
      <c r="A21" s="209" t="s">
        <v>4</v>
      </c>
      <c r="B21" s="65">
        <v>6967936</v>
      </c>
      <c r="C21" s="143">
        <v>4885463</v>
      </c>
      <c r="D21" s="210">
        <v>1836229</v>
      </c>
      <c r="E21" s="210">
        <v>1286786</v>
      </c>
      <c r="F21" s="66">
        <v>260681</v>
      </c>
      <c r="G21" s="143">
        <v>182546</v>
      </c>
      <c r="H21" s="210">
        <v>0</v>
      </c>
      <c r="I21" s="170">
        <v>0</v>
      </c>
      <c r="J21" s="210">
        <v>0</v>
      </c>
      <c r="K21" s="170">
        <v>0</v>
      </c>
      <c r="L21" s="177">
        <v>508</v>
      </c>
      <c r="M21" s="66">
        <v>9064846</v>
      </c>
      <c r="N21" s="66">
        <v>6354795</v>
      </c>
      <c r="O21" s="67">
        <v>6354287</v>
      </c>
      <c r="P21" s="210">
        <v>3</v>
      </c>
      <c r="Q21" s="170">
        <v>2</v>
      </c>
      <c r="R21" s="210">
        <v>0</v>
      </c>
      <c r="S21" s="170">
        <v>0</v>
      </c>
      <c r="T21" s="36">
        <v>3</v>
      </c>
      <c r="U21" s="36">
        <v>2</v>
      </c>
      <c r="V21" s="35">
        <v>9064849</v>
      </c>
      <c r="W21" s="164">
        <v>6354289</v>
      </c>
      <c r="X21" s="211">
        <v>695</v>
      </c>
      <c r="Y21" s="211">
        <v>21</v>
      </c>
      <c r="Z21" s="211">
        <v>18.25</v>
      </c>
      <c r="AA21" s="211">
        <v>0</v>
      </c>
      <c r="AB21" s="210">
        <v>734.25</v>
      </c>
      <c r="AC21" s="32">
        <v>0.82176832680470058</v>
      </c>
      <c r="AD21" s="34">
        <v>3903678</v>
      </c>
      <c r="AE21" s="34">
        <v>613034</v>
      </c>
      <c r="AF21" s="34">
        <v>3139701</v>
      </c>
      <c r="AG21" s="34">
        <v>0</v>
      </c>
      <c r="AH21" s="9">
        <v>7656413</v>
      </c>
      <c r="AI21" s="210">
        <v>15312826</v>
      </c>
      <c r="AJ21" s="9">
        <v>7656413</v>
      </c>
      <c r="AK21" s="212">
        <v>734</v>
      </c>
      <c r="AL21" s="212">
        <v>0</v>
      </c>
      <c r="AM21" s="212">
        <v>893.5</v>
      </c>
      <c r="AN21" s="32">
        <v>0.82148852825965302</v>
      </c>
      <c r="AO21" s="210">
        <v>0</v>
      </c>
      <c r="AP21" s="210">
        <v>0</v>
      </c>
      <c r="AQ21" s="210">
        <v>0</v>
      </c>
      <c r="AR21" s="155">
        <v>0</v>
      </c>
      <c r="AS21" s="210">
        <v>0</v>
      </c>
      <c r="AT21" s="87">
        <v>0</v>
      </c>
      <c r="AU21" s="210">
        <v>2092</v>
      </c>
      <c r="AV21" s="87">
        <v>1046</v>
      </c>
      <c r="AW21" s="136">
        <v>524.75</v>
      </c>
      <c r="AX21" s="210">
        <v>0</v>
      </c>
      <c r="AY21" s="210">
        <v>671438</v>
      </c>
      <c r="AZ21" s="210">
        <v>0</v>
      </c>
      <c r="BA21" s="210">
        <v>1342876</v>
      </c>
      <c r="BB21" s="22">
        <v>671438</v>
      </c>
      <c r="BC21" s="210">
        <v>1168170</v>
      </c>
      <c r="BD21" s="7">
        <v>1557560</v>
      </c>
      <c r="BE21" s="18">
        <v>1168170</v>
      </c>
      <c r="BF21" s="34">
        <v>0</v>
      </c>
      <c r="BG21" s="34">
        <v>0</v>
      </c>
      <c r="BH21" s="210">
        <v>0</v>
      </c>
      <c r="BI21" s="22">
        <v>0</v>
      </c>
      <c r="BJ21" s="210">
        <v>27280190</v>
      </c>
      <c r="BK21" s="18">
        <v>15851356</v>
      </c>
      <c r="BL21" s="136">
        <v>734</v>
      </c>
    </row>
    <row r="22" spans="1:64" x14ac:dyDescent="0.2">
      <c r="A22" s="209" t="s">
        <v>132</v>
      </c>
      <c r="B22" s="65">
        <v>70835082</v>
      </c>
      <c r="C22" s="143">
        <v>36530372</v>
      </c>
      <c r="D22" s="210">
        <v>10135256</v>
      </c>
      <c r="E22" s="210">
        <v>5496840</v>
      </c>
      <c r="F22" s="66">
        <v>-23868855</v>
      </c>
      <c r="G22" s="143">
        <v>-13408178</v>
      </c>
      <c r="H22" s="210">
        <v>0</v>
      </c>
      <c r="I22" s="170">
        <v>0</v>
      </c>
      <c r="J22" s="210">
        <v>0</v>
      </c>
      <c r="K22" s="170">
        <v>0</v>
      </c>
      <c r="L22" s="177">
        <v>437623</v>
      </c>
      <c r="M22" s="66">
        <v>57101483</v>
      </c>
      <c r="N22" s="66">
        <v>28619034</v>
      </c>
      <c r="O22" s="67">
        <v>28181411</v>
      </c>
      <c r="P22" s="210">
        <v>0</v>
      </c>
      <c r="Q22" s="170">
        <v>0</v>
      </c>
      <c r="R22" s="210">
        <v>0</v>
      </c>
      <c r="S22" s="170">
        <v>0</v>
      </c>
      <c r="T22" s="36">
        <v>0</v>
      </c>
      <c r="U22" s="36">
        <v>0</v>
      </c>
      <c r="V22" s="35">
        <v>57101483</v>
      </c>
      <c r="W22" s="164">
        <v>28181411</v>
      </c>
      <c r="X22" s="211">
        <v>4468</v>
      </c>
      <c r="Y22" s="211">
        <v>152.5</v>
      </c>
      <c r="Z22" s="211">
        <v>0</v>
      </c>
      <c r="AA22" s="211">
        <v>0</v>
      </c>
      <c r="AB22" s="210">
        <v>4620.5</v>
      </c>
      <c r="AC22" s="32">
        <v>0.24737990389634726</v>
      </c>
      <c r="AD22" s="34">
        <v>86619437</v>
      </c>
      <c r="AE22" s="34">
        <v>598557</v>
      </c>
      <c r="AF22" s="34">
        <v>14889138</v>
      </c>
      <c r="AG22" s="34">
        <v>271158</v>
      </c>
      <c r="AH22" s="9">
        <v>102378290</v>
      </c>
      <c r="AI22" s="210">
        <v>204756580</v>
      </c>
      <c r="AJ22" s="9">
        <v>102378290</v>
      </c>
      <c r="AK22" s="212">
        <v>5846</v>
      </c>
      <c r="AL22" s="212">
        <v>99.75</v>
      </c>
      <c r="AM22" s="212">
        <v>18677.75</v>
      </c>
      <c r="AN22" s="32">
        <v>0.31299273199395</v>
      </c>
      <c r="AO22" s="210">
        <v>7123309</v>
      </c>
      <c r="AP22" s="210">
        <v>0</v>
      </c>
      <c r="AQ22" s="210">
        <v>14246618</v>
      </c>
      <c r="AR22" s="155">
        <v>7123309</v>
      </c>
      <c r="AS22" s="210">
        <v>1021.75</v>
      </c>
      <c r="AT22" s="87">
        <v>0</v>
      </c>
      <c r="AU22" s="210">
        <v>2670450</v>
      </c>
      <c r="AV22" s="87">
        <v>1335225</v>
      </c>
      <c r="AW22" s="136">
        <v>346.25</v>
      </c>
      <c r="AX22" s="210">
        <v>1788743</v>
      </c>
      <c r="AY22" s="210">
        <v>0</v>
      </c>
      <c r="AZ22" s="210">
        <v>5443284</v>
      </c>
      <c r="BA22" s="210">
        <v>14464054</v>
      </c>
      <c r="BB22" s="22">
        <v>7232027</v>
      </c>
      <c r="BC22" s="210">
        <v>2810885</v>
      </c>
      <c r="BD22" s="7">
        <v>3747846.6666666665</v>
      </c>
      <c r="BE22" s="18">
        <v>2810885</v>
      </c>
      <c r="BF22" s="34">
        <v>0</v>
      </c>
      <c r="BG22" s="34">
        <v>0</v>
      </c>
      <c r="BH22" s="210">
        <v>0</v>
      </c>
      <c r="BI22" s="22">
        <v>0</v>
      </c>
      <c r="BJ22" s="210">
        <v>296987006</v>
      </c>
      <c r="BK22" s="18">
        <v>149061146</v>
      </c>
      <c r="BL22" s="136">
        <v>6867.75</v>
      </c>
    </row>
    <row r="23" spans="1:64" x14ac:dyDescent="0.2">
      <c r="A23" s="209" t="s">
        <v>133</v>
      </c>
      <c r="B23" s="65">
        <v>25057599</v>
      </c>
      <c r="C23" s="143">
        <v>16643828</v>
      </c>
      <c r="D23" s="210">
        <v>3454911</v>
      </c>
      <c r="E23" s="210">
        <v>2143317</v>
      </c>
      <c r="F23" s="66">
        <v>2183980</v>
      </c>
      <c r="G23" s="143">
        <v>1443070</v>
      </c>
      <c r="H23" s="210">
        <v>0</v>
      </c>
      <c r="I23" s="170">
        <v>0</v>
      </c>
      <c r="J23" s="210">
        <v>0</v>
      </c>
      <c r="K23" s="170">
        <v>0</v>
      </c>
      <c r="L23" s="177">
        <v>20525</v>
      </c>
      <c r="M23" s="66">
        <v>30696490</v>
      </c>
      <c r="N23" s="66">
        <v>20230215</v>
      </c>
      <c r="O23" s="67">
        <v>20209690</v>
      </c>
      <c r="P23" s="210">
        <v>0</v>
      </c>
      <c r="Q23" s="170">
        <v>0</v>
      </c>
      <c r="R23" s="210">
        <v>0</v>
      </c>
      <c r="S23" s="170">
        <v>0</v>
      </c>
      <c r="T23" s="36">
        <v>0</v>
      </c>
      <c r="U23" s="36">
        <v>0</v>
      </c>
      <c r="V23" s="35">
        <v>30696490</v>
      </c>
      <c r="W23" s="164">
        <v>20209690</v>
      </c>
      <c r="X23" s="211">
        <v>1425.75</v>
      </c>
      <c r="Y23" s="211">
        <v>12.5</v>
      </c>
      <c r="Z23" s="211">
        <v>20</v>
      </c>
      <c r="AA23" s="211">
        <v>0</v>
      </c>
      <c r="AB23" s="210">
        <v>1458.25</v>
      </c>
      <c r="AC23" s="32">
        <v>0.15639327559857361</v>
      </c>
      <c r="AD23" s="34">
        <v>8723199</v>
      </c>
      <c r="AE23" s="34">
        <v>1120224</v>
      </c>
      <c r="AF23" s="34">
        <v>23286233</v>
      </c>
      <c r="AG23" s="34">
        <v>1438434</v>
      </c>
      <c r="AH23" s="9">
        <v>34568090</v>
      </c>
      <c r="AI23" s="210">
        <v>69136180</v>
      </c>
      <c r="AJ23" s="9">
        <v>34568090</v>
      </c>
      <c r="AK23" s="212">
        <v>1740</v>
      </c>
      <c r="AL23" s="212">
        <v>941.25</v>
      </c>
      <c r="AM23" s="212">
        <v>9324.25</v>
      </c>
      <c r="AN23" s="32">
        <v>0.18661018312464808</v>
      </c>
      <c r="AO23" s="210">
        <v>0</v>
      </c>
      <c r="AP23" s="210">
        <v>116</v>
      </c>
      <c r="AQ23" s="210">
        <v>232</v>
      </c>
      <c r="AR23" s="155">
        <v>116</v>
      </c>
      <c r="AS23" s="210">
        <v>0</v>
      </c>
      <c r="AT23" s="87">
        <v>21</v>
      </c>
      <c r="AU23" s="210">
        <v>185470</v>
      </c>
      <c r="AV23" s="87">
        <v>92735</v>
      </c>
      <c r="AW23" s="136">
        <v>50.5</v>
      </c>
      <c r="AX23" s="210">
        <v>741916</v>
      </c>
      <c r="AY23" s="210">
        <v>7731664</v>
      </c>
      <c r="AZ23" s="210">
        <v>13375648</v>
      </c>
      <c r="BA23" s="210">
        <v>43698456</v>
      </c>
      <c r="BB23" s="22">
        <v>21849228</v>
      </c>
      <c r="BC23" s="210">
        <v>1034165</v>
      </c>
      <c r="BD23" s="7">
        <v>1378886.6666666667</v>
      </c>
      <c r="BE23" s="18">
        <v>1034165</v>
      </c>
      <c r="BF23" s="34">
        <v>0</v>
      </c>
      <c r="BG23" s="34">
        <v>0</v>
      </c>
      <c r="BH23" s="210">
        <v>0</v>
      </c>
      <c r="BI23" s="22">
        <v>0</v>
      </c>
      <c r="BJ23" s="210">
        <v>145095705</v>
      </c>
      <c r="BK23" s="18">
        <v>77754024</v>
      </c>
      <c r="BL23" s="136">
        <v>1740</v>
      </c>
    </row>
    <row r="24" spans="1:64" x14ac:dyDescent="0.2">
      <c r="A24" s="209" t="s">
        <v>5</v>
      </c>
      <c r="B24" s="65">
        <v>4537408</v>
      </c>
      <c r="C24" s="143">
        <v>2929831</v>
      </c>
      <c r="D24" s="210">
        <v>724611</v>
      </c>
      <c r="E24" s="210">
        <v>467375</v>
      </c>
      <c r="F24" s="36">
        <v>0</v>
      </c>
      <c r="G24" s="144">
        <v>0</v>
      </c>
      <c r="H24" s="210">
        <v>0</v>
      </c>
      <c r="I24" s="170">
        <v>0</v>
      </c>
      <c r="J24" s="210">
        <v>0</v>
      </c>
      <c r="K24" s="170">
        <v>0</v>
      </c>
      <c r="L24" s="177">
        <v>137981</v>
      </c>
      <c r="M24" s="66">
        <v>5262019</v>
      </c>
      <c r="N24" s="66">
        <v>3397206</v>
      </c>
      <c r="O24" s="67">
        <v>3259225</v>
      </c>
      <c r="P24" s="210">
        <v>0</v>
      </c>
      <c r="Q24" s="170">
        <v>0</v>
      </c>
      <c r="R24" s="210">
        <v>0</v>
      </c>
      <c r="S24" s="170">
        <v>0</v>
      </c>
      <c r="T24" s="36">
        <v>0</v>
      </c>
      <c r="U24" s="36">
        <v>0</v>
      </c>
      <c r="V24" s="35">
        <v>5262019</v>
      </c>
      <c r="W24" s="164">
        <v>3259225</v>
      </c>
      <c r="X24" s="211">
        <v>633.5</v>
      </c>
      <c r="Y24" s="211">
        <v>12.75</v>
      </c>
      <c r="Z24" s="211">
        <v>7</v>
      </c>
      <c r="AA24" s="211">
        <v>0</v>
      </c>
      <c r="AB24" s="210">
        <v>653.25</v>
      </c>
      <c r="AC24" s="32">
        <v>0.17354054592548315</v>
      </c>
      <c r="AD24" s="34">
        <v>2270823</v>
      </c>
      <c r="AE24" s="34">
        <v>650137</v>
      </c>
      <c r="AF24" s="34">
        <v>1069261</v>
      </c>
      <c r="AG24" s="34">
        <v>582253</v>
      </c>
      <c r="AH24" s="9">
        <v>4572474</v>
      </c>
      <c r="AI24" s="210">
        <v>9144948</v>
      </c>
      <c r="AJ24" s="9">
        <v>4572474</v>
      </c>
      <c r="AK24" s="212">
        <v>769</v>
      </c>
      <c r="AL24" s="212">
        <v>645</v>
      </c>
      <c r="AM24" s="212">
        <v>3764.25</v>
      </c>
      <c r="AN24" s="32">
        <v>0.20429036328617919</v>
      </c>
      <c r="AO24" s="210">
        <v>1803607</v>
      </c>
      <c r="AP24" s="210">
        <v>1511920</v>
      </c>
      <c r="AQ24" s="210">
        <v>6631054</v>
      </c>
      <c r="AR24" s="155">
        <v>3315527</v>
      </c>
      <c r="AS24" s="210">
        <v>622.75</v>
      </c>
      <c r="AT24" s="87">
        <v>1678.75</v>
      </c>
      <c r="AU24" s="210">
        <v>0</v>
      </c>
      <c r="AV24" s="87">
        <v>0</v>
      </c>
      <c r="AW24" s="136">
        <v>0</v>
      </c>
      <c r="AX24" s="210">
        <v>204727</v>
      </c>
      <c r="AY24" s="210">
        <v>73928</v>
      </c>
      <c r="AZ24" s="210">
        <v>7186685</v>
      </c>
      <c r="BA24" s="210">
        <v>14930680</v>
      </c>
      <c r="BB24" s="22">
        <v>7465340</v>
      </c>
      <c r="BC24" s="210">
        <v>910068</v>
      </c>
      <c r="BD24" s="7">
        <v>1213424</v>
      </c>
      <c r="BE24" s="18">
        <v>910068</v>
      </c>
      <c r="BF24" s="34">
        <v>0</v>
      </c>
      <c r="BG24" s="34">
        <v>0</v>
      </c>
      <c r="BH24" s="210">
        <v>0</v>
      </c>
      <c r="BI24" s="22">
        <v>0</v>
      </c>
      <c r="BJ24" s="210">
        <v>37182105</v>
      </c>
      <c r="BK24" s="18">
        <v>19522634</v>
      </c>
      <c r="BL24" s="136">
        <v>1391.75</v>
      </c>
    </row>
    <row r="25" spans="1:64" x14ac:dyDescent="0.2">
      <c r="A25" s="209" t="s">
        <v>6</v>
      </c>
      <c r="B25" s="65">
        <v>14680045</v>
      </c>
      <c r="C25" s="143">
        <v>9011159</v>
      </c>
      <c r="D25" s="210">
        <v>1256162</v>
      </c>
      <c r="E25" s="210">
        <v>769447</v>
      </c>
      <c r="F25" s="66">
        <v>475502</v>
      </c>
      <c r="G25" s="143">
        <v>293950</v>
      </c>
      <c r="H25" s="210">
        <v>0</v>
      </c>
      <c r="I25" s="170">
        <v>0</v>
      </c>
      <c r="J25" s="210">
        <v>0</v>
      </c>
      <c r="K25" s="170">
        <v>0</v>
      </c>
      <c r="L25" s="177">
        <v>114678</v>
      </c>
      <c r="M25" s="66">
        <v>16411709</v>
      </c>
      <c r="N25" s="66">
        <v>10074556</v>
      </c>
      <c r="O25" s="67">
        <v>9959878</v>
      </c>
      <c r="P25" s="210">
        <v>0</v>
      </c>
      <c r="Q25" s="170">
        <v>0</v>
      </c>
      <c r="R25" s="210">
        <v>0</v>
      </c>
      <c r="S25" s="170">
        <v>0</v>
      </c>
      <c r="T25" s="36">
        <v>0</v>
      </c>
      <c r="U25" s="36">
        <v>0</v>
      </c>
      <c r="V25" s="35">
        <v>16411709</v>
      </c>
      <c r="W25" s="164">
        <v>9959878</v>
      </c>
      <c r="X25" s="211">
        <v>852</v>
      </c>
      <c r="Y25" s="211">
        <v>21.5</v>
      </c>
      <c r="Z25" s="211">
        <v>17</v>
      </c>
      <c r="AA25" s="211">
        <v>0</v>
      </c>
      <c r="AB25" s="210">
        <v>890.5</v>
      </c>
      <c r="AC25" s="32">
        <v>0.15317136099763493</v>
      </c>
      <c r="AD25" s="34">
        <v>7458684</v>
      </c>
      <c r="AE25" s="34">
        <v>1260076</v>
      </c>
      <c r="AF25" s="34">
        <v>12701265</v>
      </c>
      <c r="AG25" s="34">
        <v>0</v>
      </c>
      <c r="AH25" s="9">
        <v>21420025</v>
      </c>
      <c r="AI25" s="210">
        <v>42840050</v>
      </c>
      <c r="AJ25" s="9">
        <v>21420025</v>
      </c>
      <c r="AK25" s="212">
        <v>1333</v>
      </c>
      <c r="AL25" s="212">
        <v>0</v>
      </c>
      <c r="AM25" s="212">
        <v>5813.75</v>
      </c>
      <c r="AN25" s="32">
        <v>0.22928402494087294</v>
      </c>
      <c r="AO25" s="210">
        <v>744688</v>
      </c>
      <c r="AP25" s="210">
        <v>0</v>
      </c>
      <c r="AQ25" s="210">
        <v>1489376</v>
      </c>
      <c r="AR25" s="155">
        <v>744688</v>
      </c>
      <c r="AS25" s="210">
        <v>242.25</v>
      </c>
      <c r="AT25" s="87">
        <v>0</v>
      </c>
      <c r="AU25" s="210">
        <v>1208564</v>
      </c>
      <c r="AV25" s="87">
        <v>604282</v>
      </c>
      <c r="AW25" s="136">
        <v>135.25</v>
      </c>
      <c r="AX25" s="210">
        <v>141124</v>
      </c>
      <c r="AY25" s="210">
        <v>0</v>
      </c>
      <c r="AZ25" s="210">
        <v>938214</v>
      </c>
      <c r="BA25" s="210">
        <v>2158676</v>
      </c>
      <c r="BB25" s="22">
        <v>1079338</v>
      </c>
      <c r="BC25" s="210">
        <v>162362</v>
      </c>
      <c r="BD25" s="7">
        <v>216482.66666666666</v>
      </c>
      <c r="BE25" s="18">
        <v>162362</v>
      </c>
      <c r="BF25" s="34">
        <v>0</v>
      </c>
      <c r="BG25" s="34">
        <v>0</v>
      </c>
      <c r="BH25" s="210">
        <v>0</v>
      </c>
      <c r="BI25" s="22">
        <v>0</v>
      </c>
      <c r="BJ25" s="210">
        <v>64324832</v>
      </c>
      <c r="BK25" s="18">
        <v>33970572</v>
      </c>
      <c r="BL25" s="136">
        <v>1575.25</v>
      </c>
    </row>
    <row r="26" spans="1:64" x14ac:dyDescent="0.2">
      <c r="A26" s="209" t="s">
        <v>134</v>
      </c>
      <c r="B26" s="65">
        <v>25990296</v>
      </c>
      <c r="C26" s="143">
        <v>18809101</v>
      </c>
      <c r="D26" s="210">
        <v>1987009</v>
      </c>
      <c r="E26" s="210">
        <v>1447935</v>
      </c>
      <c r="F26" s="66">
        <v>139767</v>
      </c>
      <c r="G26" s="143">
        <v>102653</v>
      </c>
      <c r="H26" s="210">
        <v>0</v>
      </c>
      <c r="I26" s="170">
        <v>0</v>
      </c>
      <c r="J26" s="210">
        <v>0</v>
      </c>
      <c r="K26" s="170">
        <v>0</v>
      </c>
      <c r="L26" s="177">
        <v>845801</v>
      </c>
      <c r="M26" s="66">
        <v>28117072</v>
      </c>
      <c r="N26" s="66">
        <v>20359689</v>
      </c>
      <c r="O26" s="67">
        <v>19513888</v>
      </c>
      <c r="P26" s="210">
        <v>0</v>
      </c>
      <c r="Q26" s="170">
        <v>0</v>
      </c>
      <c r="R26" s="210">
        <v>0</v>
      </c>
      <c r="S26" s="170">
        <v>0</v>
      </c>
      <c r="T26" s="36">
        <v>0</v>
      </c>
      <c r="U26" s="36">
        <v>0</v>
      </c>
      <c r="V26" s="35">
        <v>28117072</v>
      </c>
      <c r="W26" s="164">
        <v>19513888</v>
      </c>
      <c r="X26" s="211">
        <v>1864.75</v>
      </c>
      <c r="Y26" s="211">
        <v>50.25</v>
      </c>
      <c r="Z26" s="211">
        <v>0</v>
      </c>
      <c r="AA26" s="211">
        <v>0</v>
      </c>
      <c r="AB26" s="210">
        <v>1915</v>
      </c>
      <c r="AC26" s="32">
        <v>0.28399822037668693</v>
      </c>
      <c r="AD26" s="34">
        <v>6158291</v>
      </c>
      <c r="AE26" s="34">
        <v>5338380</v>
      </c>
      <c r="AF26" s="34">
        <v>2508321</v>
      </c>
      <c r="AG26" s="34">
        <v>0</v>
      </c>
      <c r="AH26" s="9">
        <v>14004992</v>
      </c>
      <c r="AI26" s="210">
        <v>28009984</v>
      </c>
      <c r="AJ26" s="9">
        <v>14004992</v>
      </c>
      <c r="AK26" s="212">
        <v>2108.5</v>
      </c>
      <c r="AL26" s="212">
        <v>0</v>
      </c>
      <c r="AM26" s="212">
        <v>6743</v>
      </c>
      <c r="AN26" s="32">
        <v>0.31269464629986654</v>
      </c>
      <c r="AO26" s="210">
        <v>4301236</v>
      </c>
      <c r="AP26" s="210">
        <v>0</v>
      </c>
      <c r="AQ26" s="210">
        <v>8602472</v>
      </c>
      <c r="AR26" s="155">
        <v>4301236</v>
      </c>
      <c r="AS26" s="210">
        <v>2469</v>
      </c>
      <c r="AT26" s="87">
        <v>0</v>
      </c>
      <c r="AU26" s="210">
        <v>2</v>
      </c>
      <c r="AV26" s="87">
        <v>1</v>
      </c>
      <c r="AW26" s="136">
        <v>42.75</v>
      </c>
      <c r="AX26" s="210">
        <v>185611</v>
      </c>
      <c r="AY26" s="210">
        <v>1493775</v>
      </c>
      <c r="AZ26" s="210">
        <v>1180914</v>
      </c>
      <c r="BA26" s="210">
        <v>5720600</v>
      </c>
      <c r="BB26" s="22">
        <v>2860300</v>
      </c>
      <c r="BC26" s="210">
        <v>2843946</v>
      </c>
      <c r="BD26" s="7">
        <v>3791928</v>
      </c>
      <c r="BE26" s="18">
        <v>2843946</v>
      </c>
      <c r="BF26" s="34">
        <v>0</v>
      </c>
      <c r="BG26" s="34">
        <v>0</v>
      </c>
      <c r="BH26" s="210">
        <v>0</v>
      </c>
      <c r="BI26" s="22">
        <v>0</v>
      </c>
      <c r="BJ26" s="210">
        <v>74242039</v>
      </c>
      <c r="BK26" s="18">
        <v>43524363</v>
      </c>
      <c r="BL26" s="136">
        <v>4577.5</v>
      </c>
    </row>
    <row r="27" spans="1:64" x14ac:dyDescent="0.2">
      <c r="A27" s="209" t="s">
        <v>7</v>
      </c>
      <c r="B27" s="65">
        <v>26587617</v>
      </c>
      <c r="C27" s="143">
        <v>18066976</v>
      </c>
      <c r="D27" s="210">
        <v>1067004</v>
      </c>
      <c r="E27" s="210">
        <v>725666</v>
      </c>
      <c r="F27" s="66">
        <v>965939</v>
      </c>
      <c r="G27" s="143">
        <v>656150</v>
      </c>
      <c r="H27" s="210">
        <v>0</v>
      </c>
      <c r="I27" s="170">
        <v>0</v>
      </c>
      <c r="J27" s="210">
        <v>0</v>
      </c>
      <c r="K27" s="170">
        <v>0</v>
      </c>
      <c r="L27" s="177">
        <v>347042</v>
      </c>
      <c r="M27" s="66">
        <v>28620560</v>
      </c>
      <c r="N27" s="66">
        <v>19448792</v>
      </c>
      <c r="O27" s="67">
        <v>19101750</v>
      </c>
      <c r="P27" s="210">
        <v>0</v>
      </c>
      <c r="Q27" s="170">
        <v>0</v>
      </c>
      <c r="R27" s="210">
        <v>0</v>
      </c>
      <c r="S27" s="170">
        <v>0</v>
      </c>
      <c r="T27" s="36">
        <v>0</v>
      </c>
      <c r="U27" s="36">
        <v>0</v>
      </c>
      <c r="V27" s="35">
        <v>28620560</v>
      </c>
      <c r="W27" s="164">
        <v>19101750</v>
      </c>
      <c r="X27" s="211">
        <v>1697.5</v>
      </c>
      <c r="Y27" s="211">
        <v>29</v>
      </c>
      <c r="Z27" s="211">
        <v>36</v>
      </c>
      <c r="AA27" s="211">
        <v>0</v>
      </c>
      <c r="AB27" s="210">
        <v>1762.5</v>
      </c>
      <c r="AC27" s="32">
        <v>0.36697725261568892</v>
      </c>
      <c r="AD27" s="34">
        <v>24470109</v>
      </c>
      <c r="AE27" s="34">
        <v>3220083</v>
      </c>
      <c r="AF27" s="34">
        <v>2645930</v>
      </c>
      <c r="AG27" s="34">
        <v>473155</v>
      </c>
      <c r="AH27" s="9">
        <v>30809277</v>
      </c>
      <c r="AI27" s="210">
        <v>61618554</v>
      </c>
      <c r="AJ27" s="9">
        <v>30809277</v>
      </c>
      <c r="AK27" s="212">
        <v>2182</v>
      </c>
      <c r="AL27" s="212">
        <v>8077</v>
      </c>
      <c r="AM27" s="212">
        <v>4802.75</v>
      </c>
      <c r="AN27" s="32">
        <v>0.45432304408932384</v>
      </c>
      <c r="AO27" s="210">
        <v>1147221</v>
      </c>
      <c r="AP27" s="210">
        <v>2057273</v>
      </c>
      <c r="AQ27" s="210">
        <v>6408988</v>
      </c>
      <c r="AR27" s="155">
        <v>3204494</v>
      </c>
      <c r="AS27" s="210">
        <v>1199.25</v>
      </c>
      <c r="AT27" s="87">
        <v>1966</v>
      </c>
      <c r="AU27" s="210">
        <v>4012856</v>
      </c>
      <c r="AV27" s="87">
        <v>2006428</v>
      </c>
      <c r="AW27" s="136">
        <v>267.25</v>
      </c>
      <c r="AX27" s="210">
        <v>0</v>
      </c>
      <c r="AY27" s="210">
        <v>0</v>
      </c>
      <c r="AZ27" s="210">
        <v>676798</v>
      </c>
      <c r="BA27" s="210">
        <v>1353596</v>
      </c>
      <c r="BB27" s="22">
        <v>676798</v>
      </c>
      <c r="BC27" s="210">
        <v>4912293</v>
      </c>
      <c r="BD27" s="7">
        <v>6549724</v>
      </c>
      <c r="BE27" s="18">
        <v>4912293</v>
      </c>
      <c r="BF27" s="34">
        <v>0</v>
      </c>
      <c r="BG27" s="34">
        <v>0</v>
      </c>
      <c r="BH27" s="210">
        <v>0</v>
      </c>
      <c r="BI27" s="22">
        <v>0</v>
      </c>
      <c r="BJ27" s="210">
        <v>108564276</v>
      </c>
      <c r="BK27" s="18">
        <v>60711040</v>
      </c>
      <c r="BL27" s="136">
        <v>3381.25</v>
      </c>
    </row>
    <row r="28" spans="1:64" x14ac:dyDescent="0.2">
      <c r="A28" s="209" t="s">
        <v>40</v>
      </c>
      <c r="B28" s="65">
        <v>6131923</v>
      </c>
      <c r="C28" s="143">
        <v>3863682</v>
      </c>
      <c r="D28" s="210">
        <v>235219</v>
      </c>
      <c r="E28" s="210">
        <v>149853</v>
      </c>
      <c r="F28" s="36">
        <v>0</v>
      </c>
      <c r="G28" s="144">
        <v>0</v>
      </c>
      <c r="H28" s="210">
        <v>0</v>
      </c>
      <c r="I28" s="170">
        <v>0</v>
      </c>
      <c r="J28" s="210">
        <v>0</v>
      </c>
      <c r="K28" s="170">
        <v>0</v>
      </c>
      <c r="L28" s="177">
        <v>84607</v>
      </c>
      <c r="M28" s="66">
        <v>6367142</v>
      </c>
      <c r="N28" s="66">
        <v>4013535</v>
      </c>
      <c r="O28" s="67">
        <v>3928928</v>
      </c>
      <c r="P28" s="210">
        <v>0</v>
      </c>
      <c r="Q28" s="170">
        <v>0</v>
      </c>
      <c r="R28" s="210">
        <v>0</v>
      </c>
      <c r="S28" s="170">
        <v>0</v>
      </c>
      <c r="T28" s="36">
        <v>0</v>
      </c>
      <c r="U28" s="36">
        <v>0</v>
      </c>
      <c r="V28" s="35">
        <v>6367142</v>
      </c>
      <c r="W28" s="164">
        <v>3928928</v>
      </c>
      <c r="X28" s="211">
        <v>495.75</v>
      </c>
      <c r="Y28" s="211">
        <v>10</v>
      </c>
      <c r="Z28" s="211">
        <v>0</v>
      </c>
      <c r="AA28" s="211">
        <v>0</v>
      </c>
      <c r="AB28" s="210">
        <v>505.75</v>
      </c>
      <c r="AC28" s="32">
        <v>0.22863924050632911</v>
      </c>
      <c r="AD28" s="34">
        <v>8236734</v>
      </c>
      <c r="AE28" s="34">
        <v>1897804</v>
      </c>
      <c r="AF28" s="34">
        <v>1517670</v>
      </c>
      <c r="AG28" s="34">
        <v>0</v>
      </c>
      <c r="AH28" s="9">
        <v>11652208</v>
      </c>
      <c r="AI28" s="210">
        <v>23304416</v>
      </c>
      <c r="AJ28" s="9">
        <v>11652208</v>
      </c>
      <c r="AK28" s="212">
        <v>1093</v>
      </c>
      <c r="AL28" s="212">
        <v>0</v>
      </c>
      <c r="AM28" s="212">
        <v>2212</v>
      </c>
      <c r="AN28" s="32">
        <v>0.49412296564195296</v>
      </c>
      <c r="AO28" s="210">
        <v>616551</v>
      </c>
      <c r="AP28" s="210">
        <v>0</v>
      </c>
      <c r="AQ28" s="210">
        <v>1233102</v>
      </c>
      <c r="AR28" s="155">
        <v>616551</v>
      </c>
      <c r="AS28" s="210">
        <v>2155</v>
      </c>
      <c r="AT28" s="87">
        <v>0</v>
      </c>
      <c r="AU28" s="210">
        <v>0</v>
      </c>
      <c r="AV28" s="87">
        <v>0</v>
      </c>
      <c r="AW28" s="136">
        <v>0</v>
      </c>
      <c r="AX28" s="210">
        <v>0</v>
      </c>
      <c r="AY28" s="210">
        <v>1835572</v>
      </c>
      <c r="AZ28" s="210">
        <v>3103468</v>
      </c>
      <c r="BA28" s="210">
        <v>9878080</v>
      </c>
      <c r="BB28" s="22">
        <v>4939040</v>
      </c>
      <c r="BC28" s="210">
        <v>898953</v>
      </c>
      <c r="BD28" s="7">
        <v>1198604</v>
      </c>
      <c r="BE28" s="18">
        <v>898953</v>
      </c>
      <c r="BF28" s="34">
        <v>0</v>
      </c>
      <c r="BG28" s="34">
        <v>0</v>
      </c>
      <c r="BH28" s="210">
        <v>0</v>
      </c>
      <c r="BI28" s="22">
        <v>0</v>
      </c>
      <c r="BJ28" s="210">
        <v>41981333</v>
      </c>
      <c r="BK28" s="18">
        <v>22035681</v>
      </c>
      <c r="BL28" s="136">
        <v>3248</v>
      </c>
    </row>
    <row r="29" spans="1:64" x14ac:dyDescent="0.2">
      <c r="A29" s="209" t="s">
        <v>135</v>
      </c>
      <c r="B29" s="65">
        <v>88992658</v>
      </c>
      <c r="C29" s="143">
        <v>46688349</v>
      </c>
      <c r="D29" s="210">
        <v>1506043</v>
      </c>
      <c r="E29" s="210">
        <v>757130</v>
      </c>
      <c r="F29" s="66">
        <v>2769302</v>
      </c>
      <c r="G29" s="143">
        <v>1386078</v>
      </c>
      <c r="H29" s="210">
        <v>0</v>
      </c>
      <c r="I29" s="170">
        <v>0</v>
      </c>
      <c r="J29" s="210">
        <v>0</v>
      </c>
      <c r="K29" s="170">
        <v>0</v>
      </c>
      <c r="L29" s="177">
        <v>205987</v>
      </c>
      <c r="M29" s="66">
        <v>93268003</v>
      </c>
      <c r="N29" s="66">
        <v>48831557</v>
      </c>
      <c r="O29" s="67">
        <v>48625570</v>
      </c>
      <c r="P29" s="210">
        <v>0</v>
      </c>
      <c r="Q29" s="170">
        <v>0</v>
      </c>
      <c r="R29" s="210">
        <v>0</v>
      </c>
      <c r="S29" s="170">
        <v>0</v>
      </c>
      <c r="T29" s="36">
        <v>0</v>
      </c>
      <c r="U29" s="36">
        <v>0</v>
      </c>
      <c r="V29" s="35">
        <v>93268003</v>
      </c>
      <c r="W29" s="164">
        <v>48625570</v>
      </c>
      <c r="X29" s="211">
        <v>584.75</v>
      </c>
      <c r="Y29" s="211">
        <v>50</v>
      </c>
      <c r="Z29" s="211">
        <v>46.25</v>
      </c>
      <c r="AA29" s="211">
        <v>0</v>
      </c>
      <c r="AB29" s="210">
        <v>681</v>
      </c>
      <c r="AC29" s="32">
        <v>0.15743844642237892</v>
      </c>
      <c r="AD29" s="34">
        <v>13341376</v>
      </c>
      <c r="AE29" s="34">
        <v>1986589</v>
      </c>
      <c r="AF29" s="34">
        <v>7524607</v>
      </c>
      <c r="AG29" s="34">
        <v>2340522</v>
      </c>
      <c r="AH29" s="9">
        <v>25193094</v>
      </c>
      <c r="AI29" s="210">
        <v>50386188</v>
      </c>
      <c r="AJ29" s="9">
        <v>25193094</v>
      </c>
      <c r="AK29" s="212">
        <v>1019</v>
      </c>
      <c r="AL29" s="212">
        <v>35.25</v>
      </c>
      <c r="AM29" s="212">
        <v>4325.5</v>
      </c>
      <c r="AN29" s="32">
        <v>0.23557970176858167</v>
      </c>
      <c r="AO29" s="210">
        <v>1374043</v>
      </c>
      <c r="AP29" s="210">
        <v>0</v>
      </c>
      <c r="AQ29" s="210">
        <v>2748086</v>
      </c>
      <c r="AR29" s="155">
        <v>1374043</v>
      </c>
      <c r="AS29" s="210">
        <v>94.25</v>
      </c>
      <c r="AT29" s="87">
        <v>0</v>
      </c>
      <c r="AU29" s="210">
        <v>135194</v>
      </c>
      <c r="AV29" s="87">
        <v>67597</v>
      </c>
      <c r="AW29" s="136">
        <v>2.75</v>
      </c>
      <c r="AX29" s="210">
        <v>0</v>
      </c>
      <c r="AY29" s="210">
        <v>2582262</v>
      </c>
      <c r="AZ29" s="210">
        <v>3248220</v>
      </c>
      <c r="BA29" s="210">
        <v>11660964</v>
      </c>
      <c r="BB29" s="22">
        <v>5830482</v>
      </c>
      <c r="BC29" s="210">
        <v>1079695</v>
      </c>
      <c r="BD29" s="7">
        <v>1439593.3333333333</v>
      </c>
      <c r="BE29" s="18">
        <v>1079695</v>
      </c>
      <c r="BF29" s="34">
        <v>0</v>
      </c>
      <c r="BG29" s="34">
        <v>0</v>
      </c>
      <c r="BH29" s="210">
        <v>0</v>
      </c>
      <c r="BI29" s="22">
        <v>0</v>
      </c>
      <c r="BJ29" s="210">
        <v>159638013</v>
      </c>
      <c r="BK29" s="18">
        <v>82170481</v>
      </c>
      <c r="BL29" s="136">
        <v>1113.25</v>
      </c>
    </row>
    <row r="30" spans="1:64" ht="15" customHeight="1" x14ac:dyDescent="0.2">
      <c r="A30" s="209" t="s">
        <v>42</v>
      </c>
      <c r="B30" s="65">
        <v>48698207</v>
      </c>
      <c r="C30" s="143">
        <v>24610466</v>
      </c>
      <c r="D30" s="210">
        <v>1254754</v>
      </c>
      <c r="E30" s="210">
        <v>637446</v>
      </c>
      <c r="F30" s="66">
        <v>6373975</v>
      </c>
      <c r="G30" s="143">
        <v>3232549</v>
      </c>
      <c r="H30" s="210">
        <v>0</v>
      </c>
      <c r="I30" s="170">
        <v>0</v>
      </c>
      <c r="J30" s="210">
        <v>0</v>
      </c>
      <c r="K30" s="170">
        <v>0</v>
      </c>
      <c r="L30" s="177">
        <v>5110</v>
      </c>
      <c r="M30" s="66">
        <v>56326936</v>
      </c>
      <c r="N30" s="66">
        <v>28480461</v>
      </c>
      <c r="O30" s="67">
        <v>28475351</v>
      </c>
      <c r="P30" s="210">
        <v>0</v>
      </c>
      <c r="Q30" s="170">
        <v>0</v>
      </c>
      <c r="R30" s="210">
        <v>0</v>
      </c>
      <c r="S30" s="170">
        <v>0</v>
      </c>
      <c r="T30" s="36">
        <v>0</v>
      </c>
      <c r="U30" s="36">
        <v>0</v>
      </c>
      <c r="V30" s="35">
        <v>56326936</v>
      </c>
      <c r="W30" s="164">
        <v>28475351</v>
      </c>
      <c r="X30" s="211">
        <v>2607.5</v>
      </c>
      <c r="Y30" s="211">
        <v>24.5</v>
      </c>
      <c r="Z30" s="211">
        <v>157.5</v>
      </c>
      <c r="AA30" s="211">
        <v>0</v>
      </c>
      <c r="AB30" s="210">
        <v>2789.5</v>
      </c>
      <c r="AC30" s="32">
        <v>0.33499459589287861</v>
      </c>
      <c r="AD30" s="34">
        <v>43441992</v>
      </c>
      <c r="AE30" s="34">
        <v>114050</v>
      </c>
      <c r="AF30" s="34">
        <v>12684930</v>
      </c>
      <c r="AG30" s="34">
        <v>9880735</v>
      </c>
      <c r="AH30" s="9">
        <v>66121707</v>
      </c>
      <c r="AI30" s="210">
        <v>132243414</v>
      </c>
      <c r="AJ30" s="9">
        <v>66121707</v>
      </c>
      <c r="AK30" s="212">
        <v>3273.25</v>
      </c>
      <c r="AL30" s="212">
        <v>3273.25</v>
      </c>
      <c r="AM30" s="212">
        <v>8327</v>
      </c>
      <c r="AN30" s="32">
        <v>0.39308874744806055</v>
      </c>
      <c r="AO30" s="210">
        <v>28568806</v>
      </c>
      <c r="AP30" s="210">
        <v>2786457</v>
      </c>
      <c r="AQ30" s="210">
        <v>62710526</v>
      </c>
      <c r="AR30" s="155">
        <v>31355263</v>
      </c>
      <c r="AS30" s="210">
        <v>8356.25</v>
      </c>
      <c r="AT30" s="87">
        <v>971.5</v>
      </c>
      <c r="AU30" s="210">
        <v>2930974</v>
      </c>
      <c r="AV30" s="87">
        <v>1465487</v>
      </c>
      <c r="AW30" s="136">
        <v>152</v>
      </c>
      <c r="AX30" s="210">
        <v>865375</v>
      </c>
      <c r="AY30" s="210">
        <v>0</v>
      </c>
      <c r="AZ30" s="210">
        <v>0</v>
      </c>
      <c r="BA30" s="210">
        <v>1730750</v>
      </c>
      <c r="BB30" s="22">
        <v>865375</v>
      </c>
      <c r="BC30" s="210">
        <v>370709</v>
      </c>
      <c r="BD30" s="7">
        <v>494278.66666666669</v>
      </c>
      <c r="BE30" s="18">
        <v>370709</v>
      </c>
      <c r="BF30" s="34">
        <v>0</v>
      </c>
      <c r="BG30" s="34">
        <v>0</v>
      </c>
      <c r="BH30" s="210">
        <v>0</v>
      </c>
      <c r="BI30" s="22">
        <v>0</v>
      </c>
      <c r="BJ30" s="210">
        <v>256436842</v>
      </c>
      <c r="BK30" s="18">
        <v>128653890</v>
      </c>
      <c r="BL30" s="136">
        <v>11629.5</v>
      </c>
    </row>
    <row r="31" spans="1:64" x14ac:dyDescent="0.2">
      <c r="A31" s="209" t="s">
        <v>8</v>
      </c>
      <c r="B31" s="65">
        <v>31801884</v>
      </c>
      <c r="C31" s="143">
        <v>20766609</v>
      </c>
      <c r="D31" s="210">
        <v>17127537</v>
      </c>
      <c r="E31" s="210">
        <v>11182533</v>
      </c>
      <c r="F31" s="36">
        <v>0</v>
      </c>
      <c r="G31" s="144">
        <v>0</v>
      </c>
      <c r="H31" s="210">
        <v>0</v>
      </c>
      <c r="I31" s="170">
        <v>0</v>
      </c>
      <c r="J31" s="210">
        <v>0</v>
      </c>
      <c r="K31" s="170">
        <v>0</v>
      </c>
      <c r="L31" s="177">
        <v>2295400</v>
      </c>
      <c r="M31" s="66">
        <v>48929421</v>
      </c>
      <c r="N31" s="66">
        <v>31949142</v>
      </c>
      <c r="O31" s="67">
        <v>29653742</v>
      </c>
      <c r="P31" s="210">
        <v>1444105</v>
      </c>
      <c r="Q31" s="170">
        <v>1192167</v>
      </c>
      <c r="R31" s="210">
        <v>0</v>
      </c>
      <c r="S31" s="170">
        <v>0</v>
      </c>
      <c r="T31" s="66">
        <v>1444105</v>
      </c>
      <c r="U31" s="66">
        <v>1192167</v>
      </c>
      <c r="V31" s="35">
        <v>50373526</v>
      </c>
      <c r="W31" s="164">
        <v>30845909</v>
      </c>
      <c r="X31" s="211">
        <v>1781</v>
      </c>
      <c r="Y31" s="211">
        <v>91.25</v>
      </c>
      <c r="Z31" s="211">
        <v>0</v>
      </c>
      <c r="AA31" s="211">
        <v>0</v>
      </c>
      <c r="AB31" s="210">
        <v>1872.25</v>
      </c>
      <c r="AC31" s="32">
        <v>0.2174316987486572</v>
      </c>
      <c r="AD31" s="34">
        <v>20372274</v>
      </c>
      <c r="AE31" s="34">
        <v>2437333</v>
      </c>
      <c r="AF31" s="34">
        <v>7466882</v>
      </c>
      <c r="AG31" s="34">
        <v>857928</v>
      </c>
      <c r="AH31" s="9">
        <v>31134417</v>
      </c>
      <c r="AI31" s="210">
        <v>62268834</v>
      </c>
      <c r="AJ31" s="9">
        <v>31134417</v>
      </c>
      <c r="AK31" s="212">
        <v>2210.75</v>
      </c>
      <c r="AL31" s="212">
        <v>5409.5</v>
      </c>
      <c r="AM31" s="212">
        <v>8610.75</v>
      </c>
      <c r="AN31" s="32">
        <v>0.25674302470748772</v>
      </c>
      <c r="AO31" s="210">
        <v>86879</v>
      </c>
      <c r="AP31" s="210">
        <v>16896</v>
      </c>
      <c r="AQ31" s="210">
        <v>207550</v>
      </c>
      <c r="AR31" s="155">
        <v>103775</v>
      </c>
      <c r="AS31" s="210">
        <v>476.75</v>
      </c>
      <c r="AT31" s="87">
        <v>28.25</v>
      </c>
      <c r="AU31" s="210">
        <v>152522</v>
      </c>
      <c r="AV31" s="87">
        <v>76261</v>
      </c>
      <c r="AW31" s="136">
        <v>10.75</v>
      </c>
      <c r="AX31" s="210">
        <v>1131</v>
      </c>
      <c r="AY31" s="210">
        <v>9664691</v>
      </c>
      <c r="AZ31" s="210">
        <v>7637645</v>
      </c>
      <c r="BA31" s="210">
        <v>34606934</v>
      </c>
      <c r="BB31" s="22">
        <v>17303467</v>
      </c>
      <c r="BC31" s="210">
        <v>1411606</v>
      </c>
      <c r="BD31" s="7">
        <v>1882141.3333333333</v>
      </c>
      <c r="BE31" s="18">
        <v>1411606</v>
      </c>
      <c r="BF31" s="34">
        <v>0</v>
      </c>
      <c r="BG31" s="34">
        <v>0</v>
      </c>
      <c r="BH31" s="210">
        <v>0</v>
      </c>
      <c r="BI31" s="22">
        <v>0</v>
      </c>
      <c r="BJ31" s="210">
        <v>149491496</v>
      </c>
      <c r="BK31" s="18">
        <v>80875435</v>
      </c>
      <c r="BL31" s="136">
        <v>2687.5</v>
      </c>
    </row>
    <row r="32" spans="1:64" ht="14.65" customHeight="1" x14ac:dyDescent="0.2">
      <c r="A32" s="209" t="s">
        <v>9</v>
      </c>
      <c r="B32" s="65">
        <v>28059518</v>
      </c>
      <c r="C32" s="143">
        <v>14578084</v>
      </c>
      <c r="D32" s="210">
        <v>0</v>
      </c>
      <c r="E32" s="210">
        <v>0</v>
      </c>
      <c r="F32" s="36">
        <v>0</v>
      </c>
      <c r="G32" s="144">
        <v>0</v>
      </c>
      <c r="H32" s="210">
        <v>0</v>
      </c>
      <c r="I32" s="170">
        <v>0</v>
      </c>
      <c r="J32" s="210">
        <v>0</v>
      </c>
      <c r="K32" s="170">
        <v>0</v>
      </c>
      <c r="L32" s="177">
        <v>210376</v>
      </c>
      <c r="M32" s="66">
        <v>28059518</v>
      </c>
      <c r="N32" s="66">
        <v>14578084</v>
      </c>
      <c r="O32" s="67">
        <v>14367708</v>
      </c>
      <c r="P32" s="210">
        <v>4616882</v>
      </c>
      <c r="Q32" s="170">
        <v>3860241</v>
      </c>
      <c r="R32" s="210">
        <v>0</v>
      </c>
      <c r="S32" s="170">
        <v>0</v>
      </c>
      <c r="T32" s="66">
        <v>4616882</v>
      </c>
      <c r="U32" s="66">
        <v>3860241</v>
      </c>
      <c r="V32" s="35">
        <v>32676400</v>
      </c>
      <c r="W32" s="164">
        <v>18227949</v>
      </c>
      <c r="X32" s="211">
        <v>1754.5</v>
      </c>
      <c r="Y32" s="211">
        <v>0</v>
      </c>
      <c r="Z32" s="211">
        <v>0</v>
      </c>
      <c r="AA32" s="211">
        <v>1</v>
      </c>
      <c r="AB32" s="210">
        <v>1755.5</v>
      </c>
      <c r="AC32" s="32">
        <v>0.344688788533281</v>
      </c>
      <c r="AD32" s="34">
        <v>11069433</v>
      </c>
      <c r="AE32" s="34">
        <v>20006935</v>
      </c>
      <c r="AF32" s="34">
        <v>10071548</v>
      </c>
      <c r="AG32" s="34">
        <v>222694</v>
      </c>
      <c r="AH32" s="9">
        <v>41370610</v>
      </c>
      <c r="AI32" s="210">
        <v>82741220</v>
      </c>
      <c r="AJ32" s="9">
        <v>41370610</v>
      </c>
      <c r="AK32" s="212">
        <v>2213</v>
      </c>
      <c r="AL32" s="212">
        <v>737.5</v>
      </c>
      <c r="AM32" s="212">
        <v>5093</v>
      </c>
      <c r="AN32" s="32">
        <v>0.43451796583546043</v>
      </c>
      <c r="AO32" s="210">
        <v>1056608</v>
      </c>
      <c r="AP32" s="210">
        <v>713250</v>
      </c>
      <c r="AQ32" s="210">
        <v>3539716</v>
      </c>
      <c r="AR32" s="155">
        <v>1769858</v>
      </c>
      <c r="AS32" s="210">
        <v>7567.25</v>
      </c>
      <c r="AT32" s="87">
        <v>2112.75</v>
      </c>
      <c r="AU32" s="210">
        <v>0</v>
      </c>
      <c r="AV32" s="87">
        <v>0</v>
      </c>
      <c r="AW32" s="136">
        <v>0</v>
      </c>
      <c r="AX32" s="210">
        <v>0</v>
      </c>
      <c r="AY32" s="210">
        <v>9231357</v>
      </c>
      <c r="AZ32" s="210">
        <v>0</v>
      </c>
      <c r="BA32" s="210">
        <v>18462714</v>
      </c>
      <c r="BB32" s="22">
        <v>9231357</v>
      </c>
      <c r="BC32" s="210">
        <v>6188923</v>
      </c>
      <c r="BD32" s="7">
        <v>8251897.333333333</v>
      </c>
      <c r="BE32" s="18">
        <v>6188923</v>
      </c>
      <c r="BF32" s="34">
        <v>0</v>
      </c>
      <c r="BG32" s="34">
        <v>0</v>
      </c>
      <c r="BH32" s="210">
        <v>0</v>
      </c>
      <c r="BI32" s="22">
        <v>0</v>
      </c>
      <c r="BJ32" s="210">
        <v>145671921</v>
      </c>
      <c r="BK32" s="18">
        <v>76788697</v>
      </c>
      <c r="BL32" s="136">
        <v>9780.25</v>
      </c>
    </row>
    <row r="33" spans="1:64" ht="13.35" customHeight="1" x14ac:dyDescent="0.2">
      <c r="A33" s="209" t="s">
        <v>10</v>
      </c>
      <c r="B33" s="65">
        <v>16256054</v>
      </c>
      <c r="C33" s="143">
        <v>12612803</v>
      </c>
      <c r="D33" s="210">
        <v>0</v>
      </c>
      <c r="E33" s="210">
        <v>0</v>
      </c>
      <c r="F33" s="66">
        <v>4377703</v>
      </c>
      <c r="G33" s="143">
        <v>3397837</v>
      </c>
      <c r="H33" s="210">
        <v>0</v>
      </c>
      <c r="I33" s="170">
        <v>0</v>
      </c>
      <c r="J33" s="210">
        <v>0</v>
      </c>
      <c r="K33" s="170">
        <v>0</v>
      </c>
      <c r="L33" s="177">
        <v>9512</v>
      </c>
      <c r="M33" s="66">
        <v>20633757</v>
      </c>
      <c r="N33" s="66">
        <v>16010640</v>
      </c>
      <c r="O33" s="67">
        <v>16001128</v>
      </c>
      <c r="P33" s="210">
        <v>0</v>
      </c>
      <c r="Q33" s="170">
        <v>0</v>
      </c>
      <c r="R33" s="210">
        <v>0</v>
      </c>
      <c r="S33" s="170">
        <v>0</v>
      </c>
      <c r="T33" s="36">
        <v>0</v>
      </c>
      <c r="U33" s="36">
        <v>0</v>
      </c>
      <c r="V33" s="35">
        <v>20633757</v>
      </c>
      <c r="W33" s="164">
        <v>16001128</v>
      </c>
      <c r="X33" s="211">
        <v>1273.5</v>
      </c>
      <c r="Y33" s="211">
        <v>0</v>
      </c>
      <c r="Z33" s="211">
        <v>222.75</v>
      </c>
      <c r="AA33" s="211">
        <v>0</v>
      </c>
      <c r="AB33" s="210">
        <v>1496.25</v>
      </c>
      <c r="AC33" s="32">
        <v>0.37003833312724127</v>
      </c>
      <c r="AD33" s="34">
        <v>15590776</v>
      </c>
      <c r="AE33" s="34">
        <v>536702</v>
      </c>
      <c r="AF33" s="34">
        <v>520043</v>
      </c>
      <c r="AG33" s="34">
        <v>0</v>
      </c>
      <c r="AH33" s="9">
        <v>16647521</v>
      </c>
      <c r="AI33" s="210">
        <v>33295042</v>
      </c>
      <c r="AJ33" s="9">
        <v>16647521</v>
      </c>
      <c r="AK33" s="212">
        <v>1782.75</v>
      </c>
      <c r="AL33" s="212">
        <v>0</v>
      </c>
      <c r="AM33" s="212">
        <v>4043.5</v>
      </c>
      <c r="AN33" s="32">
        <v>0.44089279089897365</v>
      </c>
      <c r="AO33" s="210">
        <v>0</v>
      </c>
      <c r="AP33" s="210">
        <v>0</v>
      </c>
      <c r="AQ33" s="210">
        <v>0</v>
      </c>
      <c r="AR33" s="155">
        <v>0</v>
      </c>
      <c r="AS33" s="210">
        <v>151.75</v>
      </c>
      <c r="AT33" s="87">
        <v>0</v>
      </c>
      <c r="AU33" s="210">
        <v>12604</v>
      </c>
      <c r="AV33" s="87">
        <v>6302</v>
      </c>
      <c r="AW33" s="136">
        <v>0.25</v>
      </c>
      <c r="AX33" s="210">
        <v>0</v>
      </c>
      <c r="AY33" s="210">
        <v>0</v>
      </c>
      <c r="AZ33" s="210">
        <v>3655251</v>
      </c>
      <c r="BA33" s="210">
        <v>7310502</v>
      </c>
      <c r="BB33" s="22">
        <v>3655251</v>
      </c>
      <c r="BC33" s="210">
        <v>9131536</v>
      </c>
      <c r="BD33" s="7">
        <v>12175381.333333334</v>
      </c>
      <c r="BE33" s="18">
        <v>9131536</v>
      </c>
      <c r="BF33" s="34">
        <v>0</v>
      </c>
      <c r="BG33" s="34">
        <v>0</v>
      </c>
      <c r="BH33" s="210">
        <v>0</v>
      </c>
      <c r="BI33" s="22">
        <v>0</v>
      </c>
      <c r="BJ33" s="210">
        <v>73427276</v>
      </c>
      <c r="BK33" s="18">
        <v>45441737</v>
      </c>
      <c r="BL33" s="136">
        <v>1934.5</v>
      </c>
    </row>
    <row r="34" spans="1:64" x14ac:dyDescent="0.2">
      <c r="A34" s="209" t="s">
        <v>11</v>
      </c>
      <c r="B34" s="65">
        <v>33624088</v>
      </c>
      <c r="C34" s="143">
        <v>22349445</v>
      </c>
      <c r="D34" s="210">
        <v>1028552</v>
      </c>
      <c r="E34" s="210">
        <v>683613</v>
      </c>
      <c r="F34" s="66">
        <v>979399</v>
      </c>
      <c r="G34" s="143">
        <v>650718</v>
      </c>
      <c r="H34" s="210">
        <v>303</v>
      </c>
      <c r="I34" s="170">
        <v>200</v>
      </c>
      <c r="J34" s="210">
        <v>0</v>
      </c>
      <c r="K34" s="170">
        <v>0</v>
      </c>
      <c r="L34" s="177">
        <v>922443</v>
      </c>
      <c r="M34" s="66">
        <v>35632342</v>
      </c>
      <c r="N34" s="66">
        <v>23683976</v>
      </c>
      <c r="O34" s="67">
        <v>22761533</v>
      </c>
      <c r="P34" s="210">
        <v>0</v>
      </c>
      <c r="Q34" s="170">
        <v>0</v>
      </c>
      <c r="R34" s="210">
        <v>0</v>
      </c>
      <c r="S34" s="170">
        <v>0</v>
      </c>
      <c r="T34" s="36">
        <v>0</v>
      </c>
      <c r="U34" s="36">
        <v>0</v>
      </c>
      <c r="V34" s="35">
        <v>35632342</v>
      </c>
      <c r="W34" s="164">
        <v>22761533</v>
      </c>
      <c r="X34" s="211">
        <v>3779.5</v>
      </c>
      <c r="Y34" s="211">
        <v>36.25</v>
      </c>
      <c r="Z34" s="211">
        <v>51.25</v>
      </c>
      <c r="AA34" s="211">
        <v>0</v>
      </c>
      <c r="AB34" s="210">
        <v>3867</v>
      </c>
      <c r="AC34" s="32">
        <v>0.31631254984560642</v>
      </c>
      <c r="AD34" s="34">
        <v>29386389</v>
      </c>
      <c r="AE34" s="34">
        <v>1403841</v>
      </c>
      <c r="AF34" s="34">
        <v>5433194</v>
      </c>
      <c r="AG34" s="34">
        <v>0</v>
      </c>
      <c r="AH34" s="9">
        <v>36223424</v>
      </c>
      <c r="AI34" s="210">
        <v>72446848</v>
      </c>
      <c r="AJ34" s="9">
        <v>36223424</v>
      </c>
      <c r="AK34" s="212">
        <v>6322.25</v>
      </c>
      <c r="AL34" s="212">
        <v>0</v>
      </c>
      <c r="AM34" s="212">
        <v>12225.25</v>
      </c>
      <c r="AN34" s="32">
        <v>0.51714688861168479</v>
      </c>
      <c r="AO34" s="210">
        <v>13087438</v>
      </c>
      <c r="AP34" s="210">
        <v>0</v>
      </c>
      <c r="AQ34" s="210">
        <v>26174876</v>
      </c>
      <c r="AR34" s="155">
        <v>13087438</v>
      </c>
      <c r="AS34" s="210">
        <v>605.25</v>
      </c>
      <c r="AT34" s="87">
        <v>0</v>
      </c>
      <c r="AU34" s="210">
        <v>0</v>
      </c>
      <c r="AV34" s="87">
        <v>0</v>
      </c>
      <c r="AW34" s="136">
        <v>0</v>
      </c>
      <c r="AX34" s="210">
        <v>0</v>
      </c>
      <c r="AY34" s="210">
        <v>693897</v>
      </c>
      <c r="AZ34" s="210">
        <v>-202663</v>
      </c>
      <c r="BA34" s="210">
        <v>982468</v>
      </c>
      <c r="BB34" s="22">
        <v>491234</v>
      </c>
      <c r="BC34" s="210">
        <v>4633435</v>
      </c>
      <c r="BD34" s="7">
        <v>6177913.333333333</v>
      </c>
      <c r="BE34" s="18">
        <v>4633435</v>
      </c>
      <c r="BF34" s="34">
        <v>0</v>
      </c>
      <c r="BG34" s="34">
        <v>0</v>
      </c>
      <c r="BH34" s="210">
        <v>0</v>
      </c>
      <c r="BI34" s="22">
        <v>0</v>
      </c>
      <c r="BJ34" s="210">
        <v>141415048</v>
      </c>
      <c r="BK34" s="18">
        <v>77197362</v>
      </c>
      <c r="BL34" s="136">
        <v>6927.5</v>
      </c>
    </row>
    <row r="35" spans="1:64" x14ac:dyDescent="0.2">
      <c r="A35" s="209" t="s">
        <v>12</v>
      </c>
      <c r="B35" s="65">
        <v>9922713</v>
      </c>
      <c r="C35" s="143">
        <v>6588794</v>
      </c>
      <c r="D35" s="210">
        <v>165571</v>
      </c>
      <c r="E35" s="210">
        <v>106605</v>
      </c>
      <c r="F35" s="66">
        <v>142056</v>
      </c>
      <c r="G35" s="143">
        <v>91396</v>
      </c>
      <c r="H35" s="210">
        <v>0</v>
      </c>
      <c r="I35" s="170">
        <v>0</v>
      </c>
      <c r="J35" s="210">
        <v>0</v>
      </c>
      <c r="K35" s="170">
        <v>0</v>
      </c>
      <c r="L35" s="177">
        <v>17839</v>
      </c>
      <c r="M35" s="66">
        <v>10230340</v>
      </c>
      <c r="N35" s="66">
        <v>6786795</v>
      </c>
      <c r="O35" s="67">
        <v>6768956</v>
      </c>
      <c r="P35" s="210">
        <v>3264524</v>
      </c>
      <c r="Q35" s="170">
        <v>2709553</v>
      </c>
      <c r="R35" s="210">
        <v>180101</v>
      </c>
      <c r="S35" s="170">
        <v>149484</v>
      </c>
      <c r="T35" s="66">
        <v>3444625</v>
      </c>
      <c r="U35" s="66">
        <v>2859037</v>
      </c>
      <c r="V35" s="35">
        <v>13674965</v>
      </c>
      <c r="W35" s="164">
        <v>9627993</v>
      </c>
      <c r="X35" s="211">
        <v>703.75</v>
      </c>
      <c r="Y35" s="211">
        <v>25.25</v>
      </c>
      <c r="Z35" s="211">
        <v>21.5</v>
      </c>
      <c r="AA35" s="211">
        <v>0</v>
      </c>
      <c r="AB35" s="210">
        <v>750.5</v>
      </c>
      <c r="AC35" s="32">
        <v>0.34281146511362337</v>
      </c>
      <c r="AD35" s="34">
        <v>5075351</v>
      </c>
      <c r="AE35" s="34">
        <v>128956</v>
      </c>
      <c r="AF35" s="34">
        <v>1982520</v>
      </c>
      <c r="AG35" s="34">
        <v>1942571</v>
      </c>
      <c r="AH35" s="9">
        <v>9129398</v>
      </c>
      <c r="AI35" s="210">
        <v>18258796</v>
      </c>
      <c r="AJ35" s="9">
        <v>9129398</v>
      </c>
      <c r="AK35" s="212">
        <v>750.75</v>
      </c>
      <c r="AL35" s="212">
        <v>1459.25</v>
      </c>
      <c r="AM35" s="212">
        <v>2189.25</v>
      </c>
      <c r="AN35" s="32">
        <v>0.34292565947242204</v>
      </c>
      <c r="AO35" s="210">
        <v>0</v>
      </c>
      <c r="AP35" s="210">
        <v>0</v>
      </c>
      <c r="AQ35" s="210">
        <v>0</v>
      </c>
      <c r="AR35" s="155">
        <v>0</v>
      </c>
      <c r="AS35" s="210">
        <v>0</v>
      </c>
      <c r="AT35" s="87">
        <v>0</v>
      </c>
      <c r="AU35" s="210">
        <v>0</v>
      </c>
      <c r="AV35" s="87">
        <v>0</v>
      </c>
      <c r="AW35" s="136">
        <v>0</v>
      </c>
      <c r="AX35" s="210">
        <v>0</v>
      </c>
      <c r="AY35" s="210">
        <v>370646</v>
      </c>
      <c r="AZ35" s="210">
        <v>57436</v>
      </c>
      <c r="BA35" s="210">
        <v>856164</v>
      </c>
      <c r="BB35" s="22">
        <v>428082</v>
      </c>
      <c r="BC35" s="210">
        <v>1133957</v>
      </c>
      <c r="BD35" s="7">
        <v>1511942.6666666667</v>
      </c>
      <c r="BE35" s="18">
        <v>1133957</v>
      </c>
      <c r="BF35" s="34">
        <v>0</v>
      </c>
      <c r="BG35" s="34">
        <v>0</v>
      </c>
      <c r="BH35" s="210">
        <v>0</v>
      </c>
      <c r="BI35" s="22">
        <v>0</v>
      </c>
      <c r="BJ35" s="210">
        <v>34301845</v>
      </c>
      <c r="BK35" s="18">
        <v>20319429</v>
      </c>
      <c r="BL35" s="136">
        <v>750.75</v>
      </c>
    </row>
    <row r="36" spans="1:64" x14ac:dyDescent="0.2">
      <c r="A36" s="209" t="s">
        <v>136</v>
      </c>
      <c r="B36" s="65">
        <v>9059024</v>
      </c>
      <c r="C36" s="143">
        <v>5196159</v>
      </c>
      <c r="D36" s="210">
        <v>32753</v>
      </c>
      <c r="E36" s="210">
        <v>19385</v>
      </c>
      <c r="F36" s="36">
        <v>0</v>
      </c>
      <c r="G36" s="144">
        <v>0</v>
      </c>
      <c r="H36" s="210">
        <v>0</v>
      </c>
      <c r="I36" s="170">
        <v>0</v>
      </c>
      <c r="J36" s="210">
        <v>0</v>
      </c>
      <c r="K36" s="170">
        <v>0</v>
      </c>
      <c r="L36" s="177">
        <v>181958</v>
      </c>
      <c r="M36" s="66">
        <v>9091777</v>
      </c>
      <c r="N36" s="66">
        <v>5215544</v>
      </c>
      <c r="O36" s="67">
        <v>5033586</v>
      </c>
      <c r="P36" s="210">
        <v>0</v>
      </c>
      <c r="Q36" s="170">
        <v>0</v>
      </c>
      <c r="R36" s="210">
        <v>0</v>
      </c>
      <c r="S36" s="170">
        <v>0</v>
      </c>
      <c r="T36" s="36">
        <v>0</v>
      </c>
      <c r="U36" s="36">
        <v>0</v>
      </c>
      <c r="V36" s="35">
        <v>9091777</v>
      </c>
      <c r="W36" s="164">
        <v>5033586</v>
      </c>
      <c r="X36" s="211">
        <v>607.25</v>
      </c>
      <c r="Y36" s="211">
        <v>16.25</v>
      </c>
      <c r="Z36" s="211">
        <v>0</v>
      </c>
      <c r="AA36" s="211">
        <v>0</v>
      </c>
      <c r="AB36" s="210">
        <v>623.5</v>
      </c>
      <c r="AC36" s="32">
        <v>0.10320711773225739</v>
      </c>
      <c r="AD36" s="34">
        <v>5525685</v>
      </c>
      <c r="AE36" s="34">
        <v>16985</v>
      </c>
      <c r="AF36" s="34">
        <v>12729770</v>
      </c>
      <c r="AG36" s="34">
        <v>0</v>
      </c>
      <c r="AH36" s="9">
        <v>18272440</v>
      </c>
      <c r="AI36" s="210">
        <v>36544880</v>
      </c>
      <c r="AJ36" s="9">
        <v>18272440</v>
      </c>
      <c r="AK36" s="212">
        <v>930</v>
      </c>
      <c r="AL36" s="212">
        <v>0</v>
      </c>
      <c r="AM36" s="212">
        <v>6041.25</v>
      </c>
      <c r="AN36" s="32">
        <v>0.15394165114835506</v>
      </c>
      <c r="AO36" s="210">
        <v>9225433</v>
      </c>
      <c r="AP36" s="210">
        <v>0</v>
      </c>
      <c r="AQ36" s="210">
        <v>18450866</v>
      </c>
      <c r="AR36" s="155">
        <v>9225433</v>
      </c>
      <c r="AS36" s="210">
        <v>2534.75</v>
      </c>
      <c r="AT36" s="87">
        <v>0</v>
      </c>
      <c r="AU36" s="210">
        <v>0</v>
      </c>
      <c r="AV36" s="87">
        <v>0</v>
      </c>
      <c r="AW36" s="136">
        <v>0</v>
      </c>
      <c r="AX36" s="210">
        <v>0</v>
      </c>
      <c r="AY36" s="210">
        <v>0</v>
      </c>
      <c r="AZ36" s="210">
        <v>0</v>
      </c>
      <c r="BA36" s="210">
        <v>0</v>
      </c>
      <c r="BB36" s="22">
        <v>0</v>
      </c>
      <c r="BC36" s="210">
        <v>1142343</v>
      </c>
      <c r="BD36" s="7">
        <v>1523124</v>
      </c>
      <c r="BE36" s="18">
        <v>1142343</v>
      </c>
      <c r="BF36" s="34">
        <v>0</v>
      </c>
      <c r="BG36" s="34">
        <v>0</v>
      </c>
      <c r="BH36" s="210">
        <v>0</v>
      </c>
      <c r="BI36" s="22">
        <v>0</v>
      </c>
      <c r="BJ36" s="210">
        <v>65610636</v>
      </c>
      <c r="BK36" s="18">
        <v>33673802</v>
      </c>
      <c r="BL36" s="136">
        <v>3464.75</v>
      </c>
    </row>
    <row r="37" spans="1:64" x14ac:dyDescent="0.2">
      <c r="A37" s="209" t="s">
        <v>137</v>
      </c>
      <c r="B37" s="65">
        <v>25274228</v>
      </c>
      <c r="C37" s="143">
        <v>15522202</v>
      </c>
      <c r="D37" s="210">
        <v>187679</v>
      </c>
      <c r="E37" s="210">
        <v>114842</v>
      </c>
      <c r="F37" s="66">
        <v>147266</v>
      </c>
      <c r="G37" s="143">
        <v>89880</v>
      </c>
      <c r="H37" s="210">
        <v>0</v>
      </c>
      <c r="I37" s="170">
        <v>0</v>
      </c>
      <c r="J37" s="210">
        <v>0</v>
      </c>
      <c r="K37" s="170">
        <v>0</v>
      </c>
      <c r="L37" s="177">
        <v>3400</v>
      </c>
      <c r="M37" s="66">
        <v>25609173</v>
      </c>
      <c r="N37" s="66">
        <v>15726924</v>
      </c>
      <c r="O37" s="67">
        <v>15723524</v>
      </c>
      <c r="P37" s="210">
        <v>0</v>
      </c>
      <c r="Q37" s="170">
        <v>0</v>
      </c>
      <c r="R37" s="210">
        <v>0</v>
      </c>
      <c r="S37" s="170">
        <v>0</v>
      </c>
      <c r="T37" s="36">
        <v>0</v>
      </c>
      <c r="U37" s="36">
        <v>0</v>
      </c>
      <c r="V37" s="35">
        <v>25609173</v>
      </c>
      <c r="W37" s="164">
        <v>15723524</v>
      </c>
      <c r="X37" s="211">
        <v>1453</v>
      </c>
      <c r="Y37" s="211">
        <v>3.5</v>
      </c>
      <c r="Z37" s="211">
        <v>6.25</v>
      </c>
      <c r="AA37" s="211">
        <v>0</v>
      </c>
      <c r="AB37" s="210">
        <v>1462.75</v>
      </c>
      <c r="AC37" s="32">
        <v>0.37951611857040929</v>
      </c>
      <c r="AD37" s="34">
        <v>15471095</v>
      </c>
      <c r="AE37" s="34">
        <v>1406930</v>
      </c>
      <c r="AF37" s="34">
        <v>3407835</v>
      </c>
      <c r="AG37" s="34">
        <v>2094601</v>
      </c>
      <c r="AH37" s="9">
        <v>22380461</v>
      </c>
      <c r="AI37" s="210">
        <v>44760922</v>
      </c>
      <c r="AJ37" s="9">
        <v>22380461</v>
      </c>
      <c r="AK37" s="212">
        <v>1573</v>
      </c>
      <c r="AL37" s="212">
        <v>709.25</v>
      </c>
      <c r="AM37" s="212">
        <v>3854.25</v>
      </c>
      <c r="AN37" s="32">
        <v>0.40812090549393526</v>
      </c>
      <c r="AO37" s="210">
        <v>1279851</v>
      </c>
      <c r="AP37" s="210">
        <v>0</v>
      </c>
      <c r="AQ37" s="210">
        <v>2559702</v>
      </c>
      <c r="AR37" s="155">
        <v>1279851</v>
      </c>
      <c r="AS37" s="210">
        <v>94.5</v>
      </c>
      <c r="AT37" s="87">
        <v>0</v>
      </c>
      <c r="AU37" s="210">
        <v>141372</v>
      </c>
      <c r="AV37" s="87">
        <v>70686</v>
      </c>
      <c r="AW37" s="136">
        <v>202.5</v>
      </c>
      <c r="AX37" s="210">
        <v>0</v>
      </c>
      <c r="AY37" s="210">
        <v>2593751</v>
      </c>
      <c r="AZ37" s="210">
        <v>0</v>
      </c>
      <c r="BA37" s="210">
        <v>5187502</v>
      </c>
      <c r="BB37" s="22">
        <v>2593751</v>
      </c>
      <c r="BC37" s="210">
        <v>701743</v>
      </c>
      <c r="BD37" s="7">
        <v>935657.33333333337</v>
      </c>
      <c r="BE37" s="18">
        <v>701743</v>
      </c>
      <c r="BF37" s="34">
        <v>0</v>
      </c>
      <c r="BG37" s="34">
        <v>0</v>
      </c>
      <c r="BH37" s="210">
        <v>0</v>
      </c>
      <c r="BI37" s="22">
        <v>0</v>
      </c>
      <c r="BJ37" s="210">
        <v>79194299</v>
      </c>
      <c r="BK37" s="18">
        <v>42750015</v>
      </c>
      <c r="BL37" s="136">
        <v>1667.5</v>
      </c>
    </row>
    <row r="38" spans="1:64" ht="15" customHeight="1" x14ac:dyDescent="0.2">
      <c r="A38" s="209" t="s">
        <v>102</v>
      </c>
      <c r="B38" s="65">
        <v>8465346</v>
      </c>
      <c r="C38" s="143">
        <v>4247964</v>
      </c>
      <c r="D38" s="210">
        <v>256078</v>
      </c>
      <c r="E38" s="210">
        <v>128039</v>
      </c>
      <c r="F38" s="36">
        <v>0</v>
      </c>
      <c r="G38" s="144">
        <v>0</v>
      </c>
      <c r="H38" s="210">
        <v>0</v>
      </c>
      <c r="I38" s="170">
        <v>0</v>
      </c>
      <c r="J38" s="210">
        <v>0</v>
      </c>
      <c r="K38" s="170">
        <v>0</v>
      </c>
      <c r="L38" s="177">
        <v>13820</v>
      </c>
      <c r="M38" s="66">
        <v>8721424</v>
      </c>
      <c r="N38" s="66">
        <v>4376003</v>
      </c>
      <c r="O38" s="67">
        <v>4362183</v>
      </c>
      <c r="P38" s="210">
        <v>0</v>
      </c>
      <c r="Q38" s="170">
        <v>0</v>
      </c>
      <c r="R38" s="210">
        <v>0</v>
      </c>
      <c r="S38" s="170">
        <v>0</v>
      </c>
      <c r="T38" s="36">
        <v>0</v>
      </c>
      <c r="U38" s="36">
        <v>0</v>
      </c>
      <c r="V38" s="35">
        <v>8721424</v>
      </c>
      <c r="W38" s="164">
        <v>4362183</v>
      </c>
      <c r="X38" s="211">
        <v>294.5</v>
      </c>
      <c r="Y38" s="211">
        <v>0</v>
      </c>
      <c r="Z38" s="211">
        <v>0</v>
      </c>
      <c r="AA38" s="211">
        <v>0</v>
      </c>
      <c r="AB38" s="210">
        <v>294.5</v>
      </c>
      <c r="AC38" s="32">
        <v>0.19669393888796127</v>
      </c>
      <c r="AD38" s="34">
        <v>1019994</v>
      </c>
      <c r="AE38" s="34">
        <v>1460205</v>
      </c>
      <c r="AF38" s="34">
        <v>6482312</v>
      </c>
      <c r="AG38" s="34">
        <v>0</v>
      </c>
      <c r="AH38" s="9">
        <v>8962511</v>
      </c>
      <c r="AI38" s="210">
        <v>17925022</v>
      </c>
      <c r="AJ38" s="9">
        <v>8962511</v>
      </c>
      <c r="AK38" s="212">
        <v>351.25</v>
      </c>
      <c r="AL38" s="212">
        <v>0</v>
      </c>
      <c r="AM38" s="212">
        <v>1497.25</v>
      </c>
      <c r="AN38" s="32">
        <v>0.23459676072800134</v>
      </c>
      <c r="AO38" s="210">
        <v>37563</v>
      </c>
      <c r="AP38" s="210">
        <v>0</v>
      </c>
      <c r="AQ38" s="210">
        <v>75126</v>
      </c>
      <c r="AR38" s="155">
        <v>37563</v>
      </c>
      <c r="AS38" s="210">
        <v>27.25</v>
      </c>
      <c r="AT38" s="87">
        <v>0</v>
      </c>
      <c r="AU38" s="210">
        <v>1105160</v>
      </c>
      <c r="AV38" s="87">
        <v>552580</v>
      </c>
      <c r="AW38" s="136">
        <v>58.75</v>
      </c>
      <c r="AX38" s="210">
        <v>0</v>
      </c>
      <c r="AY38" s="210">
        <v>172090</v>
      </c>
      <c r="AZ38" s="210">
        <v>383480</v>
      </c>
      <c r="BA38" s="210">
        <v>1111140</v>
      </c>
      <c r="BB38" s="22">
        <v>555570</v>
      </c>
      <c r="BC38" s="210">
        <v>5942581</v>
      </c>
      <c r="BD38" s="7">
        <v>7923441.333333333</v>
      </c>
      <c r="BE38" s="18">
        <v>5942581</v>
      </c>
      <c r="BF38" s="34">
        <v>0</v>
      </c>
      <c r="BG38" s="34">
        <v>0</v>
      </c>
      <c r="BH38" s="210">
        <v>0</v>
      </c>
      <c r="BI38" s="22">
        <v>0</v>
      </c>
      <c r="BJ38" s="210">
        <v>36861292</v>
      </c>
      <c r="BK38" s="18">
        <v>20412988</v>
      </c>
      <c r="BL38" s="136">
        <v>378.5</v>
      </c>
    </row>
    <row r="39" spans="1:64" ht="14.85" customHeight="1" x14ac:dyDescent="0.2">
      <c r="A39" s="209" t="s">
        <v>13</v>
      </c>
      <c r="B39" s="65">
        <v>19036297</v>
      </c>
      <c r="C39" s="143">
        <v>9598839</v>
      </c>
      <c r="D39" s="210">
        <v>0</v>
      </c>
      <c r="E39" s="210">
        <v>0</v>
      </c>
      <c r="F39" s="66">
        <v>186608</v>
      </c>
      <c r="G39" s="143">
        <v>92684</v>
      </c>
      <c r="H39" s="210">
        <v>0</v>
      </c>
      <c r="I39" s="170">
        <v>0</v>
      </c>
      <c r="J39" s="210">
        <v>0</v>
      </c>
      <c r="K39" s="170">
        <v>0</v>
      </c>
      <c r="L39" s="177">
        <v>503225</v>
      </c>
      <c r="M39" s="66">
        <v>19222905</v>
      </c>
      <c r="N39" s="66">
        <v>9691523</v>
      </c>
      <c r="O39" s="67">
        <v>9188298</v>
      </c>
      <c r="P39" s="210">
        <v>0</v>
      </c>
      <c r="Q39" s="170">
        <v>0</v>
      </c>
      <c r="R39" s="210">
        <v>0</v>
      </c>
      <c r="S39" s="170">
        <v>0</v>
      </c>
      <c r="T39" s="36">
        <v>0</v>
      </c>
      <c r="U39" s="36">
        <v>0</v>
      </c>
      <c r="V39" s="35">
        <v>19222905</v>
      </c>
      <c r="W39" s="164">
        <v>9188298</v>
      </c>
      <c r="X39" s="211">
        <v>1449.25</v>
      </c>
      <c r="Y39" s="211">
        <v>0</v>
      </c>
      <c r="Z39" s="211">
        <v>38.25</v>
      </c>
      <c r="AA39" s="211">
        <v>0</v>
      </c>
      <c r="AB39" s="210">
        <v>1487.5</v>
      </c>
      <c r="AC39" s="32">
        <v>0.44472681067344344</v>
      </c>
      <c r="AD39" s="34">
        <v>50409385</v>
      </c>
      <c r="AE39" s="34">
        <v>2880525</v>
      </c>
      <c r="AF39" s="34">
        <v>12165824</v>
      </c>
      <c r="AG39" s="34">
        <v>0</v>
      </c>
      <c r="AH39" s="9">
        <v>65455734</v>
      </c>
      <c r="AI39" s="210">
        <v>130911468</v>
      </c>
      <c r="AJ39" s="9">
        <v>65455734</v>
      </c>
      <c r="AK39" s="212">
        <v>1925.75</v>
      </c>
      <c r="AL39" s="212">
        <v>0</v>
      </c>
      <c r="AM39" s="212">
        <v>3344.75</v>
      </c>
      <c r="AN39" s="32">
        <v>0.57575304581807307</v>
      </c>
      <c r="AO39" s="210">
        <v>9125021</v>
      </c>
      <c r="AP39" s="210">
        <v>0</v>
      </c>
      <c r="AQ39" s="210">
        <v>18250042</v>
      </c>
      <c r="AR39" s="155">
        <v>9125021</v>
      </c>
      <c r="AS39" s="210">
        <v>2475.5</v>
      </c>
      <c r="AT39" s="87">
        <v>0</v>
      </c>
      <c r="AU39" s="210">
        <v>0</v>
      </c>
      <c r="AV39" s="87">
        <v>0</v>
      </c>
      <c r="AW39" s="136">
        <v>0</v>
      </c>
      <c r="AX39" s="210">
        <v>0</v>
      </c>
      <c r="AY39" s="210">
        <v>19447549</v>
      </c>
      <c r="AZ39" s="210">
        <v>238433</v>
      </c>
      <c r="BA39" s="210">
        <v>39371964</v>
      </c>
      <c r="BB39" s="22">
        <v>19685982</v>
      </c>
      <c r="BC39" s="210">
        <v>4681465</v>
      </c>
      <c r="BD39" s="7">
        <v>6241953.333333333</v>
      </c>
      <c r="BE39" s="18">
        <v>4681465</v>
      </c>
      <c r="BF39" s="34">
        <v>0</v>
      </c>
      <c r="BG39" s="34">
        <v>0</v>
      </c>
      <c r="BH39" s="210">
        <v>0</v>
      </c>
      <c r="BI39" s="22">
        <v>0</v>
      </c>
      <c r="BJ39" s="210">
        <v>213998308</v>
      </c>
      <c r="BK39" s="18">
        <v>108136501</v>
      </c>
      <c r="BL39" s="136">
        <v>4401.25</v>
      </c>
    </row>
    <row r="40" spans="1:64" ht="15" customHeight="1" x14ac:dyDescent="0.2">
      <c r="A40" s="209" t="s">
        <v>14</v>
      </c>
      <c r="B40" s="65">
        <v>11842086</v>
      </c>
      <c r="C40" s="143">
        <v>8636304</v>
      </c>
      <c r="D40" s="210">
        <v>0</v>
      </c>
      <c r="E40" s="210">
        <v>0</v>
      </c>
      <c r="F40" s="66">
        <v>233993</v>
      </c>
      <c r="G40" s="143">
        <v>172090</v>
      </c>
      <c r="H40" s="210">
        <v>0</v>
      </c>
      <c r="I40" s="170">
        <v>0</v>
      </c>
      <c r="J40" s="210">
        <v>0</v>
      </c>
      <c r="K40" s="170">
        <v>0</v>
      </c>
      <c r="L40" s="177">
        <v>0</v>
      </c>
      <c r="M40" s="66">
        <v>12076079</v>
      </c>
      <c r="N40" s="66">
        <v>8808394</v>
      </c>
      <c r="O40" s="67">
        <v>8808394</v>
      </c>
      <c r="P40" s="210">
        <v>2029</v>
      </c>
      <c r="Q40" s="170">
        <v>1734</v>
      </c>
      <c r="R40" s="210">
        <v>0</v>
      </c>
      <c r="S40" s="170">
        <v>0</v>
      </c>
      <c r="T40" s="66">
        <v>2029</v>
      </c>
      <c r="U40" s="66">
        <v>1734</v>
      </c>
      <c r="V40" s="35">
        <v>12078108</v>
      </c>
      <c r="W40" s="164">
        <v>8810128</v>
      </c>
      <c r="X40" s="211">
        <v>923.5</v>
      </c>
      <c r="Y40" s="211">
        <v>0</v>
      </c>
      <c r="Z40" s="211">
        <v>33</v>
      </c>
      <c r="AA40" s="211">
        <v>0</v>
      </c>
      <c r="AB40" s="210">
        <v>956.5</v>
      </c>
      <c r="AC40" s="32">
        <v>0.49126861838726243</v>
      </c>
      <c r="AD40" s="34">
        <v>8781700</v>
      </c>
      <c r="AE40" s="34">
        <v>905659</v>
      </c>
      <c r="AF40" s="34">
        <v>1341412</v>
      </c>
      <c r="AG40" s="34">
        <v>2516613</v>
      </c>
      <c r="AH40" s="9">
        <v>13545384</v>
      </c>
      <c r="AI40" s="210">
        <v>27090768</v>
      </c>
      <c r="AJ40" s="9">
        <v>13545384</v>
      </c>
      <c r="AK40" s="212">
        <v>961.25</v>
      </c>
      <c r="AL40" s="212">
        <v>570.75</v>
      </c>
      <c r="AM40" s="212">
        <v>1947</v>
      </c>
      <c r="AN40" s="32">
        <v>0.49370826913199795</v>
      </c>
      <c r="AO40" s="210">
        <v>1440209</v>
      </c>
      <c r="AP40" s="210">
        <v>0</v>
      </c>
      <c r="AQ40" s="210">
        <v>2880418</v>
      </c>
      <c r="AR40" s="155">
        <v>1440209</v>
      </c>
      <c r="AS40" s="210">
        <v>68.75</v>
      </c>
      <c r="AT40" s="87">
        <v>0</v>
      </c>
      <c r="AU40" s="210">
        <v>0</v>
      </c>
      <c r="AV40" s="87">
        <v>0</v>
      </c>
      <c r="AW40" s="136">
        <v>0</v>
      </c>
      <c r="AX40" s="210">
        <v>440586</v>
      </c>
      <c r="AY40" s="210">
        <v>0</v>
      </c>
      <c r="AZ40" s="210">
        <v>7695636</v>
      </c>
      <c r="BA40" s="210">
        <v>16272444</v>
      </c>
      <c r="BB40" s="22">
        <v>8136222</v>
      </c>
      <c r="BC40" s="210">
        <v>2048865</v>
      </c>
      <c r="BD40" s="7">
        <v>2731820</v>
      </c>
      <c r="BE40" s="18">
        <v>2048865</v>
      </c>
      <c r="BF40" s="34">
        <v>0</v>
      </c>
      <c r="BG40" s="34">
        <v>0</v>
      </c>
      <c r="BH40" s="210">
        <v>0</v>
      </c>
      <c r="BI40" s="22">
        <v>0</v>
      </c>
      <c r="BJ40" s="210">
        <v>61053542</v>
      </c>
      <c r="BK40" s="18">
        <v>33980808</v>
      </c>
      <c r="BL40" s="136">
        <v>1030</v>
      </c>
    </row>
    <row r="41" spans="1:64" x14ac:dyDescent="0.2">
      <c r="A41" s="209" t="s">
        <v>138</v>
      </c>
      <c r="B41" s="65">
        <v>167571184</v>
      </c>
      <c r="C41" s="143">
        <v>85091094</v>
      </c>
      <c r="D41" s="210">
        <v>46941224</v>
      </c>
      <c r="E41" s="210">
        <v>23787545</v>
      </c>
      <c r="F41" s="66">
        <v>14768404</v>
      </c>
      <c r="G41" s="143">
        <v>7485878</v>
      </c>
      <c r="H41" s="210">
        <v>0</v>
      </c>
      <c r="I41" s="170">
        <v>0</v>
      </c>
      <c r="J41" s="210">
        <v>0</v>
      </c>
      <c r="K41" s="170">
        <v>0</v>
      </c>
      <c r="L41" s="177">
        <v>1097538</v>
      </c>
      <c r="M41" s="66">
        <v>229280812</v>
      </c>
      <c r="N41" s="66">
        <v>116364517</v>
      </c>
      <c r="O41" s="67">
        <v>115266979</v>
      </c>
      <c r="P41" s="210">
        <v>0</v>
      </c>
      <c r="Q41" s="170">
        <v>0</v>
      </c>
      <c r="R41" s="210">
        <v>0</v>
      </c>
      <c r="S41" s="170">
        <v>0</v>
      </c>
      <c r="T41" s="36">
        <v>0</v>
      </c>
      <c r="U41" s="36">
        <v>0</v>
      </c>
      <c r="V41" s="35">
        <v>229280812</v>
      </c>
      <c r="W41" s="164">
        <v>115266979</v>
      </c>
      <c r="X41" s="211">
        <v>3221.5</v>
      </c>
      <c r="Y41" s="211">
        <v>172.75</v>
      </c>
      <c r="Z41" s="211">
        <v>49.5</v>
      </c>
      <c r="AA41" s="211">
        <v>0</v>
      </c>
      <c r="AB41" s="210">
        <v>3443.75</v>
      </c>
      <c r="AC41" s="32">
        <v>0.3855087876413299</v>
      </c>
      <c r="AD41" s="34">
        <v>69663393</v>
      </c>
      <c r="AE41" s="34">
        <v>5048285</v>
      </c>
      <c r="AF41" s="34">
        <v>16877989</v>
      </c>
      <c r="AG41" s="34">
        <v>4902609</v>
      </c>
      <c r="AH41" s="9">
        <v>96492276</v>
      </c>
      <c r="AI41" s="210">
        <v>192984552</v>
      </c>
      <c r="AJ41" s="9">
        <v>96492276</v>
      </c>
      <c r="AK41" s="212">
        <v>3443.75</v>
      </c>
      <c r="AL41" s="212">
        <v>3182.25</v>
      </c>
      <c r="AM41" s="212">
        <v>8933</v>
      </c>
      <c r="AN41" s="32">
        <v>0.3855087876413299</v>
      </c>
      <c r="AO41" s="210">
        <v>98507594</v>
      </c>
      <c r="AP41" s="210">
        <v>4970609</v>
      </c>
      <c r="AQ41" s="210">
        <v>206956406</v>
      </c>
      <c r="AR41" s="155">
        <v>103478203</v>
      </c>
      <c r="AS41" s="210">
        <v>10999</v>
      </c>
      <c r="AT41" s="87">
        <v>2866.5</v>
      </c>
      <c r="AU41" s="210">
        <v>0</v>
      </c>
      <c r="AV41" s="87">
        <v>0</v>
      </c>
      <c r="AW41" s="136">
        <v>0</v>
      </c>
      <c r="AX41" s="210">
        <v>0</v>
      </c>
      <c r="AY41" s="210">
        <v>5723758</v>
      </c>
      <c r="AZ41" s="210">
        <v>458335</v>
      </c>
      <c r="BA41" s="210">
        <v>12364186</v>
      </c>
      <c r="BB41" s="22">
        <v>6182093</v>
      </c>
      <c r="BC41" s="210">
        <v>4690081</v>
      </c>
      <c r="BD41" s="7">
        <v>6253441.333333333</v>
      </c>
      <c r="BE41" s="18">
        <v>4690081</v>
      </c>
      <c r="BF41" s="34">
        <v>0</v>
      </c>
      <c r="BG41" s="34">
        <v>0</v>
      </c>
      <c r="BH41" s="210">
        <v>0</v>
      </c>
      <c r="BI41" s="22">
        <v>0</v>
      </c>
      <c r="BJ41" s="210">
        <v>647839383</v>
      </c>
      <c r="BK41" s="18">
        <v>326109632</v>
      </c>
      <c r="BL41" s="136">
        <v>14442.75</v>
      </c>
    </row>
    <row r="42" spans="1:64" ht="14.65" customHeight="1" x14ac:dyDescent="0.2">
      <c r="A42" s="209" t="s">
        <v>15</v>
      </c>
      <c r="B42" s="65">
        <v>44936279</v>
      </c>
      <c r="C42" s="143">
        <v>29788150</v>
      </c>
      <c r="D42" s="210">
        <v>635172</v>
      </c>
      <c r="E42" s="210">
        <v>418642</v>
      </c>
      <c r="F42" s="66">
        <v>1350088</v>
      </c>
      <c r="G42" s="143">
        <v>889844</v>
      </c>
      <c r="H42" s="210">
        <v>0</v>
      </c>
      <c r="I42" s="170">
        <v>0</v>
      </c>
      <c r="J42" s="210">
        <v>0</v>
      </c>
      <c r="K42" s="170">
        <v>0</v>
      </c>
      <c r="L42" s="177">
        <v>932811</v>
      </c>
      <c r="M42" s="66">
        <v>46921539</v>
      </c>
      <c r="N42" s="66">
        <v>31096636</v>
      </c>
      <c r="O42" s="67">
        <v>30163825</v>
      </c>
      <c r="P42" s="210">
        <v>0</v>
      </c>
      <c r="Q42" s="170">
        <v>0</v>
      </c>
      <c r="R42" s="210">
        <v>0</v>
      </c>
      <c r="S42" s="170">
        <v>0</v>
      </c>
      <c r="T42" s="36">
        <v>0</v>
      </c>
      <c r="U42" s="36">
        <v>0</v>
      </c>
      <c r="V42" s="35">
        <v>46921539</v>
      </c>
      <c r="W42" s="164">
        <v>30163825</v>
      </c>
      <c r="X42" s="211">
        <v>3958.75</v>
      </c>
      <c r="Y42" s="211">
        <v>20.5</v>
      </c>
      <c r="Z42" s="211">
        <v>104.25</v>
      </c>
      <c r="AA42" s="211">
        <v>0</v>
      </c>
      <c r="AB42" s="210">
        <v>4083.5</v>
      </c>
      <c r="AC42" s="32">
        <v>0.35944720742925046</v>
      </c>
      <c r="AD42" s="34">
        <v>29582675</v>
      </c>
      <c r="AE42" s="34">
        <v>138278</v>
      </c>
      <c r="AF42" s="34">
        <v>21765502</v>
      </c>
      <c r="AG42" s="34">
        <v>0</v>
      </c>
      <c r="AH42" s="9">
        <v>51486455</v>
      </c>
      <c r="AI42" s="210">
        <v>102972910</v>
      </c>
      <c r="AJ42" s="9">
        <v>51486455</v>
      </c>
      <c r="AK42" s="212">
        <v>4697.25</v>
      </c>
      <c r="AL42" s="212">
        <v>0</v>
      </c>
      <c r="AM42" s="212">
        <v>11360.5</v>
      </c>
      <c r="AN42" s="32">
        <v>0.41347211830465208</v>
      </c>
      <c r="AO42" s="210">
        <v>16496391</v>
      </c>
      <c r="AP42" s="210">
        <v>0</v>
      </c>
      <c r="AQ42" s="210">
        <v>32992782</v>
      </c>
      <c r="AR42" s="155">
        <v>16496391</v>
      </c>
      <c r="AS42" s="210">
        <v>5361.5</v>
      </c>
      <c r="AT42" s="87">
        <v>0</v>
      </c>
      <c r="AU42" s="210">
        <v>0</v>
      </c>
      <c r="AV42" s="87">
        <v>0</v>
      </c>
      <c r="AW42" s="136">
        <v>0</v>
      </c>
      <c r="AX42" s="210">
        <v>0</v>
      </c>
      <c r="AY42" s="210">
        <v>48836</v>
      </c>
      <c r="AZ42" s="210">
        <v>5329084</v>
      </c>
      <c r="BA42" s="210">
        <v>10755840</v>
      </c>
      <c r="BB42" s="22">
        <v>5377920</v>
      </c>
      <c r="BC42" s="210">
        <v>2044717</v>
      </c>
      <c r="BD42" s="7">
        <v>2726289.3333333335</v>
      </c>
      <c r="BE42" s="18">
        <v>2044717</v>
      </c>
      <c r="BF42" s="34">
        <v>0</v>
      </c>
      <c r="BG42" s="34">
        <v>0</v>
      </c>
      <c r="BH42" s="210">
        <v>0</v>
      </c>
      <c r="BI42" s="22">
        <v>0</v>
      </c>
      <c r="BJ42" s="210">
        <v>196369350</v>
      </c>
      <c r="BK42" s="18">
        <v>105569307</v>
      </c>
      <c r="BL42" s="136">
        <v>10058.75</v>
      </c>
    </row>
    <row r="43" spans="1:64" ht="14.65" customHeight="1" x14ac:dyDescent="0.2">
      <c r="A43" s="209" t="s">
        <v>16</v>
      </c>
      <c r="B43" s="65">
        <v>5032978</v>
      </c>
      <c r="C43" s="143">
        <v>2722389</v>
      </c>
      <c r="D43" s="210">
        <v>1076207</v>
      </c>
      <c r="E43" s="210">
        <v>579689</v>
      </c>
      <c r="F43" s="36">
        <v>0</v>
      </c>
      <c r="G43" s="144">
        <v>0</v>
      </c>
      <c r="H43" s="210">
        <v>0</v>
      </c>
      <c r="I43" s="170">
        <v>0</v>
      </c>
      <c r="J43" s="210">
        <v>0</v>
      </c>
      <c r="K43" s="170">
        <v>0</v>
      </c>
      <c r="L43" s="177">
        <v>195983</v>
      </c>
      <c r="M43" s="66">
        <v>6109185</v>
      </c>
      <c r="N43" s="66">
        <v>3302078</v>
      </c>
      <c r="O43" s="67">
        <v>3106095</v>
      </c>
      <c r="P43" s="210">
        <v>4039174</v>
      </c>
      <c r="Q43" s="170">
        <v>3369791</v>
      </c>
      <c r="R43" s="210">
        <v>258399</v>
      </c>
      <c r="S43" s="170">
        <v>215713</v>
      </c>
      <c r="T43" s="66">
        <v>4297573</v>
      </c>
      <c r="U43" s="66">
        <v>3585504</v>
      </c>
      <c r="V43" s="35">
        <v>10406758</v>
      </c>
      <c r="W43" s="164">
        <v>6691599</v>
      </c>
      <c r="X43" s="211">
        <v>438</v>
      </c>
      <c r="Y43" s="211">
        <v>21</v>
      </c>
      <c r="Z43" s="211">
        <v>1.75</v>
      </c>
      <c r="AA43" s="211">
        <v>0</v>
      </c>
      <c r="AB43" s="210">
        <v>460.75</v>
      </c>
      <c r="AC43" s="32">
        <v>0.49317634466149318</v>
      </c>
      <c r="AD43" s="34">
        <v>2848067</v>
      </c>
      <c r="AE43" s="34">
        <v>50274</v>
      </c>
      <c r="AF43" s="34">
        <v>2156044</v>
      </c>
      <c r="AG43" s="34">
        <v>0</v>
      </c>
      <c r="AH43" s="9">
        <v>5054385</v>
      </c>
      <c r="AI43" s="210">
        <v>10108770</v>
      </c>
      <c r="AJ43" s="9">
        <v>5054385</v>
      </c>
      <c r="AK43" s="212">
        <v>475.5</v>
      </c>
      <c r="AL43" s="212">
        <v>0</v>
      </c>
      <c r="AM43" s="212">
        <v>934.25</v>
      </c>
      <c r="AN43" s="32">
        <v>0.50896440995450898</v>
      </c>
      <c r="AO43" s="210">
        <v>757223</v>
      </c>
      <c r="AP43" s="210">
        <v>0</v>
      </c>
      <c r="AQ43" s="210">
        <v>1514446</v>
      </c>
      <c r="AR43" s="155">
        <v>757223</v>
      </c>
      <c r="AS43" s="210">
        <v>142</v>
      </c>
      <c r="AT43" s="87">
        <v>0</v>
      </c>
      <c r="AU43" s="210">
        <v>118976</v>
      </c>
      <c r="AV43" s="87">
        <v>59488</v>
      </c>
      <c r="AW43" s="136">
        <v>6.25</v>
      </c>
      <c r="AX43" s="210">
        <v>0</v>
      </c>
      <c r="AY43" s="210">
        <v>0</v>
      </c>
      <c r="AZ43" s="210">
        <v>350100</v>
      </c>
      <c r="BA43" s="210">
        <v>700200</v>
      </c>
      <c r="BB43" s="22">
        <v>350100</v>
      </c>
      <c r="BC43" s="210">
        <v>451271</v>
      </c>
      <c r="BD43" s="7">
        <v>601694.66666666663</v>
      </c>
      <c r="BE43" s="18">
        <v>451271</v>
      </c>
      <c r="BF43" s="34">
        <v>0</v>
      </c>
      <c r="BG43" s="34">
        <v>0</v>
      </c>
      <c r="BH43" s="210">
        <v>0</v>
      </c>
      <c r="BI43" s="22">
        <v>0</v>
      </c>
      <c r="BJ43" s="210">
        <v>23450837</v>
      </c>
      <c r="BK43" s="18">
        <v>13364066</v>
      </c>
      <c r="BL43" s="136">
        <v>617.5</v>
      </c>
    </row>
    <row r="44" spans="1:64" x14ac:dyDescent="0.2">
      <c r="A44" s="209" t="s">
        <v>139</v>
      </c>
      <c r="B44" s="65">
        <v>102243533</v>
      </c>
      <c r="C44" s="143">
        <v>66101048</v>
      </c>
      <c r="D44" s="210">
        <v>66502956</v>
      </c>
      <c r="E44" s="210">
        <v>43021481</v>
      </c>
      <c r="F44" s="66">
        <v>4522690</v>
      </c>
      <c r="G44" s="143">
        <v>2948444</v>
      </c>
      <c r="H44" s="210">
        <v>0</v>
      </c>
      <c r="I44" s="170">
        <v>0</v>
      </c>
      <c r="J44" s="210">
        <v>0</v>
      </c>
      <c r="K44" s="170">
        <v>0</v>
      </c>
      <c r="L44" s="177">
        <v>617638</v>
      </c>
      <c r="M44" s="66">
        <v>173269179</v>
      </c>
      <c r="N44" s="66">
        <v>112070973</v>
      </c>
      <c r="O44" s="67">
        <v>111453335</v>
      </c>
      <c r="P44" s="210">
        <v>0</v>
      </c>
      <c r="Q44" s="170">
        <v>0</v>
      </c>
      <c r="R44" s="210">
        <v>0</v>
      </c>
      <c r="S44" s="170">
        <v>0</v>
      </c>
      <c r="T44" s="36">
        <v>0</v>
      </c>
      <c r="U44" s="36">
        <v>0</v>
      </c>
      <c r="V44" s="35">
        <v>173269179</v>
      </c>
      <c r="W44" s="164">
        <v>111453335</v>
      </c>
      <c r="X44" s="211">
        <v>5083.25</v>
      </c>
      <c r="Y44" s="211">
        <v>503.75</v>
      </c>
      <c r="Z44" s="211">
        <v>60</v>
      </c>
      <c r="AA44" s="211">
        <v>0</v>
      </c>
      <c r="AB44" s="210">
        <v>5647</v>
      </c>
      <c r="AC44" s="32">
        <v>0.63454785515633338</v>
      </c>
      <c r="AD44" s="34">
        <v>31151539</v>
      </c>
      <c r="AE44" s="34">
        <v>1521603</v>
      </c>
      <c r="AF44" s="34">
        <v>65052648</v>
      </c>
      <c r="AG44" s="34">
        <v>11669791</v>
      </c>
      <c r="AH44" s="9">
        <v>109395581</v>
      </c>
      <c r="AI44" s="210">
        <v>218791162</v>
      </c>
      <c r="AJ44" s="9">
        <v>109395581</v>
      </c>
      <c r="AK44" s="212">
        <v>3117</v>
      </c>
      <c r="AL44" s="212">
        <v>0</v>
      </c>
      <c r="AM44" s="212">
        <v>8899.25</v>
      </c>
      <c r="AN44" s="32">
        <v>0.35025423490743601</v>
      </c>
      <c r="AO44" s="210">
        <v>10967443</v>
      </c>
      <c r="AP44" s="210">
        <v>0</v>
      </c>
      <c r="AQ44" s="210">
        <v>21934886</v>
      </c>
      <c r="AR44" s="155">
        <v>10967443</v>
      </c>
      <c r="AS44" s="210">
        <v>5728.25</v>
      </c>
      <c r="AT44" s="87">
        <v>0</v>
      </c>
      <c r="AU44" s="210">
        <v>27420</v>
      </c>
      <c r="AV44" s="87">
        <v>13710</v>
      </c>
      <c r="AW44" s="136">
        <v>298.25</v>
      </c>
      <c r="AX44" s="210">
        <v>0</v>
      </c>
      <c r="AY44" s="210">
        <v>11406705</v>
      </c>
      <c r="AZ44" s="210">
        <v>875997</v>
      </c>
      <c r="BA44" s="210">
        <v>24565404</v>
      </c>
      <c r="BB44" s="22">
        <v>12282702</v>
      </c>
      <c r="BC44" s="210">
        <v>7739806</v>
      </c>
      <c r="BD44" s="7">
        <v>10319741.333333334</v>
      </c>
      <c r="BE44" s="18">
        <v>7739806</v>
      </c>
      <c r="BF44" s="34">
        <v>0</v>
      </c>
      <c r="BG44" s="34">
        <v>0</v>
      </c>
      <c r="BH44" s="210">
        <v>0</v>
      </c>
      <c r="BI44" s="22">
        <v>0</v>
      </c>
      <c r="BJ44" s="210">
        <v>448907753</v>
      </c>
      <c r="BK44" s="18">
        <v>251852578</v>
      </c>
      <c r="BL44" s="136">
        <v>8845.25</v>
      </c>
    </row>
    <row r="45" spans="1:64" ht="14.85" customHeight="1" x14ac:dyDescent="0.2">
      <c r="A45" s="209" t="s">
        <v>140</v>
      </c>
      <c r="B45" s="65">
        <v>22162477</v>
      </c>
      <c r="C45" s="143">
        <v>15057027</v>
      </c>
      <c r="D45" s="210">
        <v>0</v>
      </c>
      <c r="E45" s="210">
        <v>0</v>
      </c>
      <c r="F45" s="36">
        <v>0</v>
      </c>
      <c r="G45" s="144">
        <v>0</v>
      </c>
      <c r="H45" s="210">
        <v>0</v>
      </c>
      <c r="I45" s="170">
        <v>0</v>
      </c>
      <c r="J45" s="210">
        <v>0</v>
      </c>
      <c r="K45" s="170">
        <v>0</v>
      </c>
      <c r="L45" s="177">
        <v>743294</v>
      </c>
      <c r="M45" s="66">
        <v>22162477</v>
      </c>
      <c r="N45" s="66">
        <v>15057027</v>
      </c>
      <c r="O45" s="67">
        <v>14313733</v>
      </c>
      <c r="P45" s="210">
        <v>4914</v>
      </c>
      <c r="Q45" s="170">
        <v>4040</v>
      </c>
      <c r="R45" s="210">
        <v>0</v>
      </c>
      <c r="S45" s="170">
        <v>0</v>
      </c>
      <c r="T45" s="66">
        <v>4914</v>
      </c>
      <c r="U45" s="66">
        <v>4040</v>
      </c>
      <c r="V45" s="35">
        <v>22167391</v>
      </c>
      <c r="W45" s="164">
        <v>14317773</v>
      </c>
      <c r="X45" s="211">
        <v>3051.5</v>
      </c>
      <c r="Y45" s="211">
        <v>0</v>
      </c>
      <c r="Z45" s="211">
        <v>0</v>
      </c>
      <c r="AA45" s="211">
        <v>0</v>
      </c>
      <c r="AB45" s="210">
        <v>3051.5</v>
      </c>
      <c r="AC45" s="32">
        <v>0.46143958868894602</v>
      </c>
      <c r="AD45" s="34">
        <v>37458109</v>
      </c>
      <c r="AE45" s="34">
        <v>1251304</v>
      </c>
      <c r="AF45" s="34">
        <v>8264582</v>
      </c>
      <c r="AG45" s="34">
        <v>306604</v>
      </c>
      <c r="AH45" s="9">
        <v>47280599</v>
      </c>
      <c r="AI45" s="210">
        <v>94561198</v>
      </c>
      <c r="AJ45" s="9">
        <v>47280599</v>
      </c>
      <c r="AK45" s="212">
        <v>3890.25</v>
      </c>
      <c r="AL45" s="212">
        <v>419</v>
      </c>
      <c r="AM45" s="212">
        <v>6613</v>
      </c>
      <c r="AN45" s="32">
        <v>0.58827309844246178</v>
      </c>
      <c r="AO45" s="210">
        <v>1248376</v>
      </c>
      <c r="AP45" s="210">
        <v>0</v>
      </c>
      <c r="AQ45" s="210">
        <v>2496752</v>
      </c>
      <c r="AR45" s="155">
        <v>1248376</v>
      </c>
      <c r="AS45" s="210">
        <v>6631</v>
      </c>
      <c r="AT45" s="87">
        <v>0</v>
      </c>
      <c r="AU45" s="210">
        <v>0</v>
      </c>
      <c r="AV45" s="87">
        <v>0</v>
      </c>
      <c r="AW45" s="136">
        <v>0</v>
      </c>
      <c r="AX45" s="210">
        <v>19439</v>
      </c>
      <c r="AY45" s="210">
        <v>3940066</v>
      </c>
      <c r="AZ45" s="210">
        <v>0</v>
      </c>
      <c r="BA45" s="210">
        <v>7919010</v>
      </c>
      <c r="BB45" s="22">
        <v>3959505</v>
      </c>
      <c r="BC45" s="210">
        <v>8897552</v>
      </c>
      <c r="BD45" s="7">
        <v>11863402.666666666</v>
      </c>
      <c r="BE45" s="18">
        <v>8897552</v>
      </c>
      <c r="BF45" s="34">
        <v>0</v>
      </c>
      <c r="BG45" s="34">
        <v>0</v>
      </c>
      <c r="BH45" s="210">
        <v>0</v>
      </c>
      <c r="BI45" s="22">
        <v>0</v>
      </c>
      <c r="BJ45" s="210">
        <v>139007740</v>
      </c>
      <c r="BK45" s="18">
        <v>75703805</v>
      </c>
      <c r="BL45" s="136">
        <v>10521.25</v>
      </c>
    </row>
    <row r="46" spans="1:64" x14ac:dyDescent="0.2">
      <c r="A46" s="209" t="s">
        <v>141</v>
      </c>
      <c r="B46" s="65">
        <v>22942886</v>
      </c>
      <c r="C46" s="143">
        <v>13660361</v>
      </c>
      <c r="D46" s="210">
        <v>0</v>
      </c>
      <c r="E46" s="210">
        <v>0</v>
      </c>
      <c r="F46" s="36">
        <v>0</v>
      </c>
      <c r="G46" s="144">
        <v>0</v>
      </c>
      <c r="H46" s="210">
        <v>0</v>
      </c>
      <c r="I46" s="170">
        <v>0</v>
      </c>
      <c r="J46" s="210">
        <v>-798940</v>
      </c>
      <c r="K46" s="170">
        <v>-508472</v>
      </c>
      <c r="L46" s="177">
        <v>334059</v>
      </c>
      <c r="M46" s="66">
        <v>22143946</v>
      </c>
      <c r="N46" s="66">
        <v>13151889</v>
      </c>
      <c r="O46" s="67">
        <v>12817830</v>
      </c>
      <c r="P46" s="210">
        <v>281934</v>
      </c>
      <c r="Q46" s="170">
        <v>234004</v>
      </c>
      <c r="R46" s="210">
        <v>0</v>
      </c>
      <c r="S46" s="170">
        <v>0</v>
      </c>
      <c r="T46" s="66">
        <v>281934</v>
      </c>
      <c r="U46" s="66">
        <v>234004</v>
      </c>
      <c r="V46" s="35">
        <v>22425880</v>
      </c>
      <c r="W46" s="164">
        <v>13051834</v>
      </c>
      <c r="X46" s="211">
        <v>1629.25</v>
      </c>
      <c r="Y46" s="211">
        <v>0</v>
      </c>
      <c r="Z46" s="211">
        <v>0</v>
      </c>
      <c r="AA46" s="211">
        <v>0</v>
      </c>
      <c r="AB46" s="210">
        <v>1629.25</v>
      </c>
      <c r="AC46" s="32">
        <v>0.37112756264236901</v>
      </c>
      <c r="AD46" s="34">
        <v>49702618</v>
      </c>
      <c r="AE46" s="34">
        <v>9254050</v>
      </c>
      <c r="AF46" s="34">
        <v>22257251</v>
      </c>
      <c r="AG46" s="34">
        <v>0</v>
      </c>
      <c r="AH46" s="9">
        <v>81213919</v>
      </c>
      <c r="AI46" s="210">
        <v>162427838</v>
      </c>
      <c r="AJ46" s="9">
        <v>81213919</v>
      </c>
      <c r="AK46" s="212">
        <v>2377</v>
      </c>
      <c r="AL46" s="212">
        <v>0</v>
      </c>
      <c r="AM46" s="212">
        <v>4390</v>
      </c>
      <c r="AN46" s="32">
        <v>0.54145785876993169</v>
      </c>
      <c r="AO46" s="210">
        <v>6520785</v>
      </c>
      <c r="AP46" s="210">
        <v>0</v>
      </c>
      <c r="AQ46" s="210">
        <v>13041570</v>
      </c>
      <c r="AR46" s="155">
        <v>6520785</v>
      </c>
      <c r="AS46" s="210">
        <v>676.25</v>
      </c>
      <c r="AT46" s="87">
        <v>0</v>
      </c>
      <c r="AU46" s="210">
        <v>485860</v>
      </c>
      <c r="AV46" s="87">
        <v>242930</v>
      </c>
      <c r="AW46" s="136">
        <v>1.25</v>
      </c>
      <c r="AX46" s="210">
        <v>0</v>
      </c>
      <c r="AY46" s="210">
        <v>1463712</v>
      </c>
      <c r="AZ46" s="210">
        <v>4720143</v>
      </c>
      <c r="BA46" s="210">
        <v>12367710</v>
      </c>
      <c r="BB46" s="22">
        <v>6183855</v>
      </c>
      <c r="BC46" s="210">
        <v>48175647</v>
      </c>
      <c r="BD46" s="7">
        <v>64234196</v>
      </c>
      <c r="BE46" s="18">
        <v>48175647</v>
      </c>
      <c r="BF46" s="34">
        <v>-7868</v>
      </c>
      <c r="BG46" s="34">
        <v>-4997</v>
      </c>
      <c r="BH46" s="210">
        <v>-7868</v>
      </c>
      <c r="BI46" s="22">
        <v>-4997</v>
      </c>
      <c r="BJ46" s="210">
        <v>274975045</v>
      </c>
      <c r="BK46" s="18">
        <v>155383886</v>
      </c>
      <c r="BL46" s="136">
        <v>3053.25</v>
      </c>
    </row>
    <row r="47" spans="1:64" ht="15.75" customHeight="1" x14ac:dyDescent="0.2">
      <c r="A47" s="209" t="s">
        <v>142</v>
      </c>
      <c r="B47" s="65">
        <v>56698854</v>
      </c>
      <c r="C47" s="143">
        <v>31392540</v>
      </c>
      <c r="D47" s="210">
        <v>8660337</v>
      </c>
      <c r="E47" s="210">
        <v>4778918</v>
      </c>
      <c r="F47" s="66">
        <v>3834396</v>
      </c>
      <c r="G47" s="143">
        <v>2134029</v>
      </c>
      <c r="H47" s="210">
        <v>0</v>
      </c>
      <c r="I47" s="170">
        <v>0</v>
      </c>
      <c r="J47" s="210">
        <v>0</v>
      </c>
      <c r="K47" s="170">
        <v>0</v>
      </c>
      <c r="L47" s="177">
        <v>644939</v>
      </c>
      <c r="M47" s="66">
        <v>69193587</v>
      </c>
      <c r="N47" s="66">
        <v>38305487</v>
      </c>
      <c r="O47" s="67">
        <v>37660548</v>
      </c>
      <c r="P47" s="210">
        <v>0</v>
      </c>
      <c r="Q47" s="170">
        <v>0</v>
      </c>
      <c r="R47" s="210">
        <v>0</v>
      </c>
      <c r="S47" s="170">
        <v>0</v>
      </c>
      <c r="T47" s="36">
        <v>0</v>
      </c>
      <c r="U47" s="36">
        <v>0</v>
      </c>
      <c r="V47" s="35">
        <v>69193587</v>
      </c>
      <c r="W47" s="164">
        <v>37660548</v>
      </c>
      <c r="X47" s="211">
        <v>5779.75</v>
      </c>
      <c r="Y47" s="211">
        <v>78.5</v>
      </c>
      <c r="Z47" s="211">
        <v>220</v>
      </c>
      <c r="AA47" s="211">
        <v>0</v>
      </c>
      <c r="AB47" s="210">
        <v>6078.25</v>
      </c>
      <c r="AC47" s="32">
        <v>0.55970441308501573</v>
      </c>
      <c r="AD47" s="34">
        <v>96140816</v>
      </c>
      <c r="AE47" s="34">
        <v>95635</v>
      </c>
      <c r="AF47" s="34">
        <v>16692923</v>
      </c>
      <c r="AG47" s="34">
        <v>1806114</v>
      </c>
      <c r="AH47" s="9">
        <v>114735488</v>
      </c>
      <c r="AI47" s="210">
        <v>229470976</v>
      </c>
      <c r="AJ47" s="9">
        <v>114735488</v>
      </c>
      <c r="AK47" s="212">
        <v>6027.75</v>
      </c>
      <c r="AL47" s="212">
        <v>1017</v>
      </c>
      <c r="AM47" s="212">
        <v>10859.75</v>
      </c>
      <c r="AN47" s="32">
        <v>0.55505421395520149</v>
      </c>
      <c r="AO47" s="210">
        <v>13171714</v>
      </c>
      <c r="AP47" s="210">
        <v>151309</v>
      </c>
      <c r="AQ47" s="210">
        <v>26646046</v>
      </c>
      <c r="AR47" s="155">
        <v>13323023</v>
      </c>
      <c r="AS47" s="210">
        <v>4986.25</v>
      </c>
      <c r="AT47" s="87">
        <v>302.5</v>
      </c>
      <c r="AU47" s="210">
        <v>607736</v>
      </c>
      <c r="AV47" s="87">
        <v>303868</v>
      </c>
      <c r="AW47" s="136">
        <v>361.5</v>
      </c>
      <c r="AX47" s="210">
        <v>5772759</v>
      </c>
      <c r="AY47" s="210">
        <v>0</v>
      </c>
      <c r="AZ47" s="210">
        <v>5822344</v>
      </c>
      <c r="BA47" s="210">
        <v>23190206</v>
      </c>
      <c r="BB47" s="22">
        <v>11595103</v>
      </c>
      <c r="BC47" s="210">
        <v>15670912</v>
      </c>
      <c r="BD47" s="7">
        <v>20894549.333333332</v>
      </c>
      <c r="BE47" s="18">
        <v>15670912</v>
      </c>
      <c r="BF47" s="34">
        <v>0</v>
      </c>
      <c r="BG47" s="34">
        <v>0</v>
      </c>
      <c r="BH47" s="210">
        <v>0</v>
      </c>
      <c r="BI47" s="22">
        <v>0</v>
      </c>
      <c r="BJ47" s="210">
        <v>370003097</v>
      </c>
      <c r="BK47" s="18">
        <v>193288945</v>
      </c>
      <c r="BL47" s="136">
        <v>11014</v>
      </c>
    </row>
    <row r="48" spans="1:64" ht="15" customHeight="1" x14ac:dyDescent="0.2">
      <c r="A48" s="209" t="s">
        <v>17</v>
      </c>
      <c r="B48" s="65">
        <v>2431314</v>
      </c>
      <c r="C48" s="143">
        <v>1847799</v>
      </c>
      <c r="D48" s="210">
        <v>5420894</v>
      </c>
      <c r="E48" s="210">
        <v>4119878</v>
      </c>
      <c r="F48" s="36">
        <v>0</v>
      </c>
      <c r="G48" s="144">
        <v>0</v>
      </c>
      <c r="H48" s="210">
        <v>0</v>
      </c>
      <c r="I48" s="170">
        <v>0</v>
      </c>
      <c r="J48" s="210">
        <v>0</v>
      </c>
      <c r="K48" s="170">
        <v>0</v>
      </c>
      <c r="L48" s="177">
        <v>144176</v>
      </c>
      <c r="M48" s="66">
        <v>7852208</v>
      </c>
      <c r="N48" s="66">
        <v>5967677</v>
      </c>
      <c r="O48" s="67">
        <v>5823501</v>
      </c>
      <c r="P48" s="210">
        <v>0</v>
      </c>
      <c r="Q48" s="170">
        <v>0</v>
      </c>
      <c r="R48" s="210">
        <v>0</v>
      </c>
      <c r="S48" s="170">
        <v>0</v>
      </c>
      <c r="T48" s="36">
        <v>0</v>
      </c>
      <c r="U48" s="36">
        <v>0</v>
      </c>
      <c r="V48" s="35">
        <v>7852208</v>
      </c>
      <c r="W48" s="164">
        <v>5823501</v>
      </c>
      <c r="X48" s="211">
        <v>188.75</v>
      </c>
      <c r="Y48" s="211">
        <v>119.25</v>
      </c>
      <c r="Z48" s="211">
        <v>0</v>
      </c>
      <c r="AA48" s="211">
        <v>0</v>
      </c>
      <c r="AB48" s="210">
        <v>308</v>
      </c>
      <c r="AC48" s="32">
        <v>0.14809472292342829</v>
      </c>
      <c r="AD48" s="34">
        <v>30494999</v>
      </c>
      <c r="AE48" s="34">
        <v>807234</v>
      </c>
      <c r="AF48" s="34">
        <v>1806601</v>
      </c>
      <c r="AG48" s="34">
        <v>0</v>
      </c>
      <c r="AH48" s="9">
        <v>33108834</v>
      </c>
      <c r="AI48" s="210">
        <v>66217668</v>
      </c>
      <c r="AJ48" s="9">
        <v>33108834</v>
      </c>
      <c r="AK48" s="212">
        <v>1771.75</v>
      </c>
      <c r="AL48" s="212">
        <v>0</v>
      </c>
      <c r="AM48" s="212">
        <v>2079.75</v>
      </c>
      <c r="AN48" s="32">
        <v>0.85190527707657171</v>
      </c>
      <c r="AO48" s="210">
        <v>0</v>
      </c>
      <c r="AP48" s="210">
        <v>0</v>
      </c>
      <c r="AQ48" s="210">
        <v>0</v>
      </c>
      <c r="AR48" s="155">
        <v>0</v>
      </c>
      <c r="AS48" s="210">
        <v>0</v>
      </c>
      <c r="AT48" s="87">
        <v>0</v>
      </c>
      <c r="AU48" s="210">
        <v>0</v>
      </c>
      <c r="AV48" s="87">
        <v>0</v>
      </c>
      <c r="AW48" s="136">
        <v>0</v>
      </c>
      <c r="AX48" s="210">
        <v>0</v>
      </c>
      <c r="AY48" s="210">
        <v>0</v>
      </c>
      <c r="AZ48" s="210">
        <v>0</v>
      </c>
      <c r="BA48" s="210">
        <v>0</v>
      </c>
      <c r="BB48" s="22">
        <v>0</v>
      </c>
      <c r="BC48" s="210">
        <v>0</v>
      </c>
      <c r="BD48" s="7">
        <v>0</v>
      </c>
      <c r="BE48" s="18">
        <v>0</v>
      </c>
      <c r="BF48" s="34">
        <v>0</v>
      </c>
      <c r="BG48" s="34">
        <v>0</v>
      </c>
      <c r="BH48" s="210">
        <v>0</v>
      </c>
      <c r="BI48" s="22">
        <v>0</v>
      </c>
      <c r="BJ48" s="210">
        <v>74069864</v>
      </c>
      <c r="BK48" s="18">
        <v>38932336</v>
      </c>
      <c r="BL48" s="136">
        <v>1771.75</v>
      </c>
    </row>
    <row r="49" spans="1:64" ht="15.75" customHeight="1" x14ac:dyDescent="0.2">
      <c r="A49" s="209" t="s">
        <v>18</v>
      </c>
      <c r="B49" s="65">
        <v>5268636</v>
      </c>
      <c r="C49" s="143">
        <v>2917883</v>
      </c>
      <c r="D49" s="210">
        <v>40927</v>
      </c>
      <c r="E49" s="210">
        <v>22522</v>
      </c>
      <c r="F49" s="66">
        <v>498650</v>
      </c>
      <c r="G49" s="143">
        <v>276767</v>
      </c>
      <c r="H49" s="210">
        <v>0</v>
      </c>
      <c r="I49" s="170">
        <v>0</v>
      </c>
      <c r="J49" s="210">
        <v>0</v>
      </c>
      <c r="K49" s="170">
        <v>0</v>
      </c>
      <c r="L49" s="177">
        <v>5765</v>
      </c>
      <c r="M49" s="66">
        <v>5808213</v>
      </c>
      <c r="N49" s="66">
        <v>3217172</v>
      </c>
      <c r="O49" s="67">
        <v>3211407</v>
      </c>
      <c r="P49" s="210">
        <v>0</v>
      </c>
      <c r="Q49" s="170">
        <v>0</v>
      </c>
      <c r="R49" s="210">
        <v>0</v>
      </c>
      <c r="S49" s="170">
        <v>0</v>
      </c>
      <c r="T49" s="36">
        <v>0</v>
      </c>
      <c r="U49" s="36">
        <v>0</v>
      </c>
      <c r="V49" s="35">
        <v>5808213</v>
      </c>
      <c r="W49" s="164">
        <v>3211407</v>
      </c>
      <c r="X49" s="211">
        <v>279</v>
      </c>
      <c r="Y49" s="211">
        <v>0.25</v>
      </c>
      <c r="Z49" s="211">
        <v>7.5</v>
      </c>
      <c r="AA49" s="211">
        <v>0</v>
      </c>
      <c r="AB49" s="210">
        <v>286.75</v>
      </c>
      <c r="AC49" s="32">
        <v>0.26422483298779081</v>
      </c>
      <c r="AD49" s="34">
        <v>6602014</v>
      </c>
      <c r="AE49" s="34">
        <v>811665</v>
      </c>
      <c r="AF49" s="34">
        <v>780672</v>
      </c>
      <c r="AG49" s="34">
        <v>0</v>
      </c>
      <c r="AH49" s="9">
        <v>8194351</v>
      </c>
      <c r="AI49" s="210">
        <v>16388702</v>
      </c>
      <c r="AJ49" s="9">
        <v>8194351</v>
      </c>
      <c r="AK49" s="212">
        <v>353.5</v>
      </c>
      <c r="AL49" s="212">
        <v>0</v>
      </c>
      <c r="AM49" s="212">
        <v>1085.25</v>
      </c>
      <c r="AN49" s="32">
        <v>0.32573139829532366</v>
      </c>
      <c r="AO49" s="210">
        <v>367734</v>
      </c>
      <c r="AP49" s="210">
        <v>0</v>
      </c>
      <c r="AQ49" s="210">
        <v>735468</v>
      </c>
      <c r="AR49" s="155">
        <v>367734</v>
      </c>
      <c r="AS49" s="210">
        <v>49.25</v>
      </c>
      <c r="AT49" s="87">
        <v>0</v>
      </c>
      <c r="AU49" s="210">
        <v>655378</v>
      </c>
      <c r="AV49" s="87">
        <v>327689</v>
      </c>
      <c r="AW49" s="136">
        <v>131.75</v>
      </c>
      <c r="AX49" s="210">
        <v>0</v>
      </c>
      <c r="AY49" s="210">
        <v>2215201</v>
      </c>
      <c r="AZ49" s="210">
        <v>616281</v>
      </c>
      <c r="BA49" s="210">
        <v>5662964</v>
      </c>
      <c r="BB49" s="22">
        <v>2831482</v>
      </c>
      <c r="BC49" s="210">
        <v>207897</v>
      </c>
      <c r="BD49" s="7">
        <v>277196</v>
      </c>
      <c r="BE49" s="18">
        <v>207897</v>
      </c>
      <c r="BF49" s="34">
        <v>0</v>
      </c>
      <c r="BG49" s="34">
        <v>0</v>
      </c>
      <c r="BH49" s="210">
        <v>0</v>
      </c>
      <c r="BI49" s="22">
        <v>0</v>
      </c>
      <c r="BJ49" s="210">
        <v>29527896</v>
      </c>
      <c r="BK49" s="18">
        <v>15140560</v>
      </c>
      <c r="BL49" s="136">
        <v>402.75</v>
      </c>
    </row>
    <row r="50" spans="1:64" ht="15.6" customHeight="1" x14ac:dyDescent="0.2">
      <c r="A50" s="209" t="s">
        <v>19</v>
      </c>
      <c r="B50" s="65">
        <v>16171601</v>
      </c>
      <c r="C50" s="143">
        <v>11301376</v>
      </c>
      <c r="D50" s="210">
        <v>0</v>
      </c>
      <c r="E50" s="210">
        <v>0</v>
      </c>
      <c r="F50" s="66">
        <v>1640522</v>
      </c>
      <c r="G50" s="143">
        <v>1148983</v>
      </c>
      <c r="H50" s="210">
        <v>0</v>
      </c>
      <c r="I50" s="170">
        <v>0</v>
      </c>
      <c r="J50" s="210">
        <v>0</v>
      </c>
      <c r="K50" s="170">
        <v>0</v>
      </c>
      <c r="L50" s="177">
        <v>813495</v>
      </c>
      <c r="M50" s="66">
        <v>17812123</v>
      </c>
      <c r="N50" s="66">
        <v>12450359</v>
      </c>
      <c r="O50" s="67">
        <v>11636864</v>
      </c>
      <c r="P50" s="210">
        <v>0</v>
      </c>
      <c r="Q50" s="170">
        <v>0</v>
      </c>
      <c r="R50" s="210">
        <v>0</v>
      </c>
      <c r="S50" s="170">
        <v>0</v>
      </c>
      <c r="T50" s="36">
        <v>0</v>
      </c>
      <c r="U50" s="36">
        <v>0</v>
      </c>
      <c r="V50" s="35">
        <v>17812123</v>
      </c>
      <c r="W50" s="164">
        <v>11636864</v>
      </c>
      <c r="X50" s="211">
        <v>1260.75</v>
      </c>
      <c r="Y50" s="211">
        <v>0</v>
      </c>
      <c r="Z50" s="211">
        <v>120.5</v>
      </c>
      <c r="AA50" s="211">
        <v>0</v>
      </c>
      <c r="AB50" s="210">
        <v>1381.25</v>
      </c>
      <c r="AC50" s="32">
        <v>0.42829457364341084</v>
      </c>
      <c r="AD50" s="34">
        <v>12728359</v>
      </c>
      <c r="AE50" s="34">
        <v>849922</v>
      </c>
      <c r="AF50" s="34">
        <v>4920614</v>
      </c>
      <c r="AG50" s="34">
        <v>989004</v>
      </c>
      <c r="AH50" s="9">
        <v>19487899</v>
      </c>
      <c r="AI50" s="210">
        <v>38975798</v>
      </c>
      <c r="AJ50" s="9">
        <v>19487899</v>
      </c>
      <c r="AK50" s="212">
        <v>1431.5</v>
      </c>
      <c r="AL50" s="212">
        <v>0</v>
      </c>
      <c r="AM50" s="212">
        <v>3225</v>
      </c>
      <c r="AN50" s="32">
        <v>0.44387596899224807</v>
      </c>
      <c r="AO50" s="210">
        <v>6156028</v>
      </c>
      <c r="AP50" s="210">
        <v>0</v>
      </c>
      <c r="AQ50" s="210">
        <v>12312056</v>
      </c>
      <c r="AR50" s="155">
        <v>6156028</v>
      </c>
      <c r="AS50" s="210">
        <v>3496.25</v>
      </c>
      <c r="AT50" s="87">
        <v>0</v>
      </c>
      <c r="AU50" s="210">
        <v>9310</v>
      </c>
      <c r="AV50" s="87">
        <v>4655</v>
      </c>
      <c r="AW50" s="136">
        <v>68</v>
      </c>
      <c r="AX50" s="210">
        <v>0</v>
      </c>
      <c r="AY50" s="210">
        <v>1082106</v>
      </c>
      <c r="AZ50" s="210">
        <v>0</v>
      </c>
      <c r="BA50" s="210">
        <v>2164212</v>
      </c>
      <c r="BB50" s="22">
        <v>1082106</v>
      </c>
      <c r="BC50" s="210">
        <v>1033142</v>
      </c>
      <c r="BD50" s="7">
        <v>1377522.6666666667</v>
      </c>
      <c r="BE50" s="18">
        <v>1033142</v>
      </c>
      <c r="BF50" s="34">
        <v>0</v>
      </c>
      <c r="BG50" s="34">
        <v>0</v>
      </c>
      <c r="BH50" s="210">
        <v>0</v>
      </c>
      <c r="BI50" s="22">
        <v>0</v>
      </c>
      <c r="BJ50" s="210">
        <v>72651005</v>
      </c>
      <c r="BK50" s="18">
        <v>39400694</v>
      </c>
      <c r="BL50" s="136">
        <v>4927.75</v>
      </c>
    </row>
    <row r="51" spans="1:64" ht="16.350000000000001" customHeight="1" x14ac:dyDescent="0.2">
      <c r="A51" s="209" t="s">
        <v>20</v>
      </c>
      <c r="B51" s="65">
        <v>5695306</v>
      </c>
      <c r="C51" s="143">
        <v>3160931</v>
      </c>
      <c r="D51" s="210">
        <v>322440</v>
      </c>
      <c r="E51" s="210">
        <v>178342</v>
      </c>
      <c r="F51" s="36">
        <v>0</v>
      </c>
      <c r="G51" s="144">
        <v>0</v>
      </c>
      <c r="H51" s="210">
        <v>0</v>
      </c>
      <c r="I51" s="170">
        <v>0</v>
      </c>
      <c r="J51" s="210">
        <v>0</v>
      </c>
      <c r="K51" s="170">
        <v>0</v>
      </c>
      <c r="L51" s="177">
        <v>128468</v>
      </c>
      <c r="M51" s="66">
        <v>6017746</v>
      </c>
      <c r="N51" s="66">
        <v>3339273</v>
      </c>
      <c r="O51" s="67">
        <v>3210805</v>
      </c>
      <c r="P51" s="210">
        <v>802289</v>
      </c>
      <c r="Q51" s="170">
        <v>667846</v>
      </c>
      <c r="R51" s="210">
        <v>0</v>
      </c>
      <c r="S51" s="170">
        <v>0</v>
      </c>
      <c r="T51" s="66">
        <v>802289</v>
      </c>
      <c r="U51" s="66">
        <v>667846</v>
      </c>
      <c r="V51" s="35">
        <v>6820035</v>
      </c>
      <c r="W51" s="164">
        <v>3878651</v>
      </c>
      <c r="X51" s="211">
        <v>589</v>
      </c>
      <c r="Y51" s="211">
        <v>29</v>
      </c>
      <c r="Z51" s="211">
        <v>0</v>
      </c>
      <c r="AA51" s="211">
        <v>0</v>
      </c>
      <c r="AB51" s="210">
        <v>618</v>
      </c>
      <c r="AC51" s="32">
        <v>0.4582020389249305</v>
      </c>
      <c r="AD51" s="34">
        <v>3438620</v>
      </c>
      <c r="AE51" s="34">
        <v>31119</v>
      </c>
      <c r="AF51" s="34">
        <v>348522</v>
      </c>
      <c r="AG51" s="34">
        <v>0</v>
      </c>
      <c r="AH51" s="9">
        <v>3818261</v>
      </c>
      <c r="AI51" s="210">
        <v>7636522</v>
      </c>
      <c r="AJ51" s="9">
        <v>3818261</v>
      </c>
      <c r="AK51" s="212">
        <v>639.5</v>
      </c>
      <c r="AL51" s="212">
        <v>0</v>
      </c>
      <c r="AM51" s="212">
        <v>1348.75</v>
      </c>
      <c r="AN51" s="32">
        <v>0.47414272474513436</v>
      </c>
      <c r="AO51" s="210">
        <v>194610</v>
      </c>
      <c r="AP51" s="210">
        <v>0</v>
      </c>
      <c r="AQ51" s="210">
        <v>389220</v>
      </c>
      <c r="AR51" s="155">
        <v>194610</v>
      </c>
      <c r="AS51" s="210">
        <v>64.75</v>
      </c>
      <c r="AT51" s="87">
        <v>0</v>
      </c>
      <c r="AU51" s="210">
        <v>0</v>
      </c>
      <c r="AV51" s="87">
        <v>0</v>
      </c>
      <c r="AW51" s="136">
        <v>0</v>
      </c>
      <c r="AX51" s="210">
        <v>0</v>
      </c>
      <c r="AY51" s="210">
        <v>581870</v>
      </c>
      <c r="AZ51" s="210">
        <v>0</v>
      </c>
      <c r="BA51" s="210">
        <v>1163740</v>
      </c>
      <c r="BB51" s="22">
        <v>581870</v>
      </c>
      <c r="BC51" s="210">
        <v>216814</v>
      </c>
      <c r="BD51" s="7">
        <v>289085.33333333331</v>
      </c>
      <c r="BE51" s="18">
        <v>216814</v>
      </c>
      <c r="BF51" s="34">
        <v>0</v>
      </c>
      <c r="BG51" s="34">
        <v>0</v>
      </c>
      <c r="BH51" s="210">
        <v>0</v>
      </c>
      <c r="BI51" s="22">
        <v>0</v>
      </c>
      <c r="BJ51" s="210">
        <v>16298594</v>
      </c>
      <c r="BK51" s="18">
        <v>8690206</v>
      </c>
      <c r="BL51" s="136">
        <v>704.25</v>
      </c>
    </row>
    <row r="52" spans="1:64" ht="15" customHeight="1" x14ac:dyDescent="0.2">
      <c r="A52" s="209" t="s">
        <v>143</v>
      </c>
      <c r="B52" s="65">
        <v>46833513</v>
      </c>
      <c r="C52" s="143">
        <v>30733049</v>
      </c>
      <c r="D52" s="210">
        <v>2025888</v>
      </c>
      <c r="E52" s="210">
        <v>1328620</v>
      </c>
      <c r="F52" s="36">
        <v>0</v>
      </c>
      <c r="G52" s="144">
        <v>0</v>
      </c>
      <c r="H52" s="210">
        <v>0</v>
      </c>
      <c r="I52" s="170">
        <v>0</v>
      </c>
      <c r="J52" s="210">
        <v>0</v>
      </c>
      <c r="K52" s="170">
        <v>0</v>
      </c>
      <c r="L52" s="177">
        <v>683433</v>
      </c>
      <c r="M52" s="66">
        <v>48859401</v>
      </c>
      <c r="N52" s="66">
        <v>32061669</v>
      </c>
      <c r="O52" s="67">
        <v>31378236</v>
      </c>
      <c r="P52" s="210">
        <v>0</v>
      </c>
      <c r="Q52" s="170">
        <v>0</v>
      </c>
      <c r="R52" s="210">
        <v>0</v>
      </c>
      <c r="S52" s="170">
        <v>0</v>
      </c>
      <c r="T52" s="36">
        <v>0</v>
      </c>
      <c r="U52" s="36">
        <v>0</v>
      </c>
      <c r="V52" s="35">
        <v>48859401</v>
      </c>
      <c r="W52" s="164">
        <v>31378236</v>
      </c>
      <c r="X52" s="211">
        <v>2873.5</v>
      </c>
      <c r="Y52" s="211">
        <v>61</v>
      </c>
      <c r="Z52" s="211">
        <v>0</v>
      </c>
      <c r="AA52" s="211">
        <v>0</v>
      </c>
      <c r="AB52" s="210">
        <v>2934.5</v>
      </c>
      <c r="AC52" s="32">
        <v>0.28267989596377996</v>
      </c>
      <c r="AD52" s="34">
        <v>895650</v>
      </c>
      <c r="AE52" s="34">
        <v>775339</v>
      </c>
      <c r="AF52" s="34">
        <v>4329304</v>
      </c>
      <c r="AG52" s="34">
        <v>0</v>
      </c>
      <c r="AH52" s="9">
        <v>6000293</v>
      </c>
      <c r="AI52" s="210">
        <v>12000586</v>
      </c>
      <c r="AJ52" s="9">
        <v>6000293</v>
      </c>
      <c r="AK52" s="212">
        <v>3665.5</v>
      </c>
      <c r="AL52" s="212">
        <v>0</v>
      </c>
      <c r="AM52" s="212">
        <v>10381</v>
      </c>
      <c r="AN52" s="32">
        <v>0.35309700414218281</v>
      </c>
      <c r="AO52" s="210">
        <v>9355951</v>
      </c>
      <c r="AP52" s="210">
        <v>0</v>
      </c>
      <c r="AQ52" s="210">
        <v>18711902</v>
      </c>
      <c r="AR52" s="155">
        <v>9355951</v>
      </c>
      <c r="AS52" s="210">
        <v>6381.25</v>
      </c>
      <c r="AT52" s="87">
        <v>0</v>
      </c>
      <c r="AU52" s="210">
        <v>0</v>
      </c>
      <c r="AV52" s="87">
        <v>0</v>
      </c>
      <c r="AW52" s="136">
        <v>0</v>
      </c>
      <c r="AX52" s="210">
        <v>0</v>
      </c>
      <c r="AY52" s="210">
        <v>4093527</v>
      </c>
      <c r="AZ52" s="210">
        <v>-567299</v>
      </c>
      <c r="BA52" s="210">
        <v>7052456</v>
      </c>
      <c r="BB52" s="22">
        <v>3526228</v>
      </c>
      <c r="BC52" s="210">
        <v>1865528</v>
      </c>
      <c r="BD52" s="7">
        <v>2487370.6666666665</v>
      </c>
      <c r="BE52" s="18">
        <v>1865528</v>
      </c>
      <c r="BF52" s="34">
        <v>0</v>
      </c>
      <c r="BG52" s="34">
        <v>0</v>
      </c>
      <c r="BH52" s="210">
        <v>0</v>
      </c>
      <c r="BI52" s="22">
        <v>0</v>
      </c>
      <c r="BJ52" s="210">
        <v>89111705</v>
      </c>
      <c r="BK52" s="18">
        <v>52126232</v>
      </c>
      <c r="BL52" s="136">
        <v>10046.75</v>
      </c>
    </row>
    <row r="53" spans="1:64" x14ac:dyDescent="0.2">
      <c r="A53" s="209" t="s">
        <v>21</v>
      </c>
      <c r="B53" s="65">
        <v>86411179</v>
      </c>
      <c r="C53" s="143">
        <v>52289797</v>
      </c>
      <c r="D53" s="210">
        <v>0</v>
      </c>
      <c r="E53" s="210">
        <v>0</v>
      </c>
      <c r="F53" s="66">
        <v>4008285</v>
      </c>
      <c r="G53" s="143">
        <v>2431779</v>
      </c>
      <c r="H53" s="210">
        <v>0</v>
      </c>
      <c r="I53" s="170">
        <v>0</v>
      </c>
      <c r="J53" s="210">
        <v>0</v>
      </c>
      <c r="K53" s="170">
        <v>0</v>
      </c>
      <c r="L53" s="177">
        <v>92794</v>
      </c>
      <c r="M53" s="66">
        <v>90419464</v>
      </c>
      <c r="N53" s="66">
        <v>54721576</v>
      </c>
      <c r="O53" s="67">
        <v>54628782</v>
      </c>
      <c r="P53" s="210">
        <v>0</v>
      </c>
      <c r="Q53" s="170">
        <v>0</v>
      </c>
      <c r="R53" s="210">
        <v>0</v>
      </c>
      <c r="S53" s="170">
        <v>0</v>
      </c>
      <c r="T53" s="36">
        <v>0</v>
      </c>
      <c r="U53" s="36">
        <v>0</v>
      </c>
      <c r="V53" s="35">
        <v>90419464</v>
      </c>
      <c r="W53" s="164">
        <v>54628782</v>
      </c>
      <c r="X53" s="211">
        <v>4228</v>
      </c>
      <c r="Y53" s="211">
        <v>0</v>
      </c>
      <c r="Z53" s="211">
        <v>140.75</v>
      </c>
      <c r="AA53" s="211">
        <v>0</v>
      </c>
      <c r="AB53" s="210">
        <v>4368.75</v>
      </c>
      <c r="AC53" s="32">
        <v>0.23294409341757977</v>
      </c>
      <c r="AD53" s="34">
        <v>32963926</v>
      </c>
      <c r="AE53" s="34">
        <v>1886201</v>
      </c>
      <c r="AF53" s="34">
        <v>72152063</v>
      </c>
      <c r="AG53" s="34">
        <v>1427466</v>
      </c>
      <c r="AH53" s="9">
        <v>108429656</v>
      </c>
      <c r="AI53" s="210">
        <v>216859312</v>
      </c>
      <c r="AJ53" s="9">
        <v>108429656</v>
      </c>
      <c r="AK53" s="212">
        <v>5274.25</v>
      </c>
      <c r="AL53" s="212">
        <v>884</v>
      </c>
      <c r="AM53" s="212">
        <v>18754.5</v>
      </c>
      <c r="AN53" s="32">
        <v>0.28122583913194166</v>
      </c>
      <c r="AO53" s="210">
        <v>5492365</v>
      </c>
      <c r="AP53" s="210">
        <v>0</v>
      </c>
      <c r="AQ53" s="210">
        <v>10984730</v>
      </c>
      <c r="AR53" s="155">
        <v>5492365</v>
      </c>
      <c r="AS53" s="210">
        <v>4551.5</v>
      </c>
      <c r="AT53" s="87">
        <v>0</v>
      </c>
      <c r="AU53" s="210">
        <v>416850</v>
      </c>
      <c r="AV53" s="87">
        <v>208425</v>
      </c>
      <c r="AW53" s="136">
        <v>1.5</v>
      </c>
      <c r="AX53" s="210">
        <v>1083678</v>
      </c>
      <c r="AY53" s="210">
        <v>0</v>
      </c>
      <c r="AZ53" s="210">
        <v>0</v>
      </c>
      <c r="BA53" s="210">
        <v>2167356</v>
      </c>
      <c r="BB53" s="22">
        <v>1083678</v>
      </c>
      <c r="BC53" s="210">
        <v>8111918</v>
      </c>
      <c r="BD53" s="7">
        <v>10815890.666666666</v>
      </c>
      <c r="BE53" s="18">
        <v>8111918</v>
      </c>
      <c r="BF53" s="34">
        <v>0</v>
      </c>
      <c r="BG53" s="34">
        <v>0</v>
      </c>
      <c r="BH53" s="210">
        <v>0</v>
      </c>
      <c r="BI53" s="22">
        <v>0</v>
      </c>
      <c r="BJ53" s="210">
        <v>331663589</v>
      </c>
      <c r="BK53" s="18">
        <v>177954823</v>
      </c>
      <c r="BL53" s="136">
        <v>9825.75</v>
      </c>
    </row>
    <row r="54" spans="1:64" x14ac:dyDescent="0.2">
      <c r="A54" s="209" t="s">
        <v>144</v>
      </c>
      <c r="B54" s="65">
        <v>6799041</v>
      </c>
      <c r="C54" s="143">
        <v>4503277</v>
      </c>
      <c r="D54" s="210">
        <v>364760</v>
      </c>
      <c r="E54" s="210">
        <v>242370</v>
      </c>
      <c r="F54" s="66">
        <v>24384</v>
      </c>
      <c r="G54" s="143">
        <v>16069</v>
      </c>
      <c r="H54" s="210">
        <v>252603</v>
      </c>
      <c r="I54" s="170">
        <v>167306</v>
      </c>
      <c r="J54" s="210">
        <v>0</v>
      </c>
      <c r="K54" s="170">
        <v>0</v>
      </c>
      <c r="L54" s="177">
        <v>215990</v>
      </c>
      <c r="M54" s="66">
        <v>7440788</v>
      </c>
      <c r="N54" s="66">
        <v>4929022</v>
      </c>
      <c r="O54" s="67">
        <v>4713032</v>
      </c>
      <c r="P54" s="210">
        <v>0</v>
      </c>
      <c r="Q54" s="170">
        <v>0</v>
      </c>
      <c r="R54" s="210">
        <v>0</v>
      </c>
      <c r="S54" s="170">
        <v>0</v>
      </c>
      <c r="T54" s="36">
        <v>0</v>
      </c>
      <c r="U54" s="36">
        <v>0</v>
      </c>
      <c r="V54" s="35">
        <v>7440788</v>
      </c>
      <c r="W54" s="164">
        <v>4713032</v>
      </c>
      <c r="X54" s="211">
        <v>392.5</v>
      </c>
      <c r="Y54" s="211">
        <v>3.25</v>
      </c>
      <c r="Z54" s="211">
        <v>1.25</v>
      </c>
      <c r="AA54" s="211">
        <v>5.5</v>
      </c>
      <c r="AB54" s="210">
        <v>402.5</v>
      </c>
      <c r="AC54" s="32">
        <v>0.22586980920314254</v>
      </c>
      <c r="AD54" s="34">
        <v>5285517</v>
      </c>
      <c r="AE54" s="34">
        <v>1386620</v>
      </c>
      <c r="AF54" s="34">
        <v>3881901</v>
      </c>
      <c r="AG54" s="34">
        <v>1403588</v>
      </c>
      <c r="AH54" s="9">
        <v>11957626</v>
      </c>
      <c r="AI54" s="210">
        <v>23915252</v>
      </c>
      <c r="AJ54" s="9">
        <v>11957626</v>
      </c>
      <c r="AK54" s="212">
        <v>476.25</v>
      </c>
      <c r="AL54" s="212">
        <v>464</v>
      </c>
      <c r="AM54" s="212">
        <v>1782</v>
      </c>
      <c r="AN54" s="32">
        <v>0.26725589225589225</v>
      </c>
      <c r="AO54" s="210">
        <v>3730870</v>
      </c>
      <c r="AP54" s="210">
        <v>581518</v>
      </c>
      <c r="AQ54" s="210">
        <v>8624776</v>
      </c>
      <c r="AR54" s="155">
        <v>4312388</v>
      </c>
      <c r="AS54" s="210">
        <v>964.25</v>
      </c>
      <c r="AT54" s="87">
        <v>736.75</v>
      </c>
      <c r="AU54" s="210">
        <v>169514</v>
      </c>
      <c r="AV54" s="87">
        <v>84757</v>
      </c>
      <c r="AW54" s="136">
        <v>39.5</v>
      </c>
      <c r="AX54" s="210">
        <v>0</v>
      </c>
      <c r="AY54" s="210">
        <v>802940</v>
      </c>
      <c r="AZ54" s="210">
        <v>902595</v>
      </c>
      <c r="BA54" s="210">
        <v>3411070</v>
      </c>
      <c r="BB54" s="22">
        <v>1705535</v>
      </c>
      <c r="BC54" s="210">
        <v>3459157</v>
      </c>
      <c r="BD54" s="7">
        <v>4612209.333333333</v>
      </c>
      <c r="BE54" s="18">
        <v>3459157</v>
      </c>
      <c r="BF54" s="34">
        <v>0</v>
      </c>
      <c r="BG54" s="34">
        <v>0</v>
      </c>
      <c r="BH54" s="210">
        <v>0</v>
      </c>
      <c r="BI54" s="22">
        <v>0</v>
      </c>
      <c r="BJ54" s="210">
        <v>48173590</v>
      </c>
      <c r="BK54" s="18">
        <v>26232496</v>
      </c>
      <c r="BL54" s="136">
        <v>1440.5</v>
      </c>
    </row>
    <row r="55" spans="1:64" x14ac:dyDescent="0.2">
      <c r="A55" s="209" t="s">
        <v>22</v>
      </c>
      <c r="B55" s="65">
        <v>5295715</v>
      </c>
      <c r="C55" s="143">
        <v>2965628</v>
      </c>
      <c r="D55" s="210">
        <v>0</v>
      </c>
      <c r="E55" s="210">
        <v>0</v>
      </c>
      <c r="F55" s="66">
        <v>-62231</v>
      </c>
      <c r="G55" s="143">
        <v>-38845</v>
      </c>
      <c r="H55" s="210">
        <v>0</v>
      </c>
      <c r="I55" s="170">
        <v>0</v>
      </c>
      <c r="J55" s="210">
        <v>0</v>
      </c>
      <c r="K55" s="170">
        <v>0</v>
      </c>
      <c r="L55" s="177">
        <v>4385</v>
      </c>
      <c r="M55" s="66">
        <v>5233484</v>
      </c>
      <c r="N55" s="66">
        <v>2926783</v>
      </c>
      <c r="O55" s="67">
        <v>2922398</v>
      </c>
      <c r="P55" s="210">
        <v>0</v>
      </c>
      <c r="Q55" s="170">
        <v>0</v>
      </c>
      <c r="R55" s="210">
        <v>0</v>
      </c>
      <c r="S55" s="170">
        <v>0</v>
      </c>
      <c r="T55" s="36">
        <v>0</v>
      </c>
      <c r="U55" s="36">
        <v>0</v>
      </c>
      <c r="V55" s="35">
        <v>5233484</v>
      </c>
      <c r="W55" s="164">
        <v>2922398</v>
      </c>
      <c r="X55" s="211">
        <v>353</v>
      </c>
      <c r="Y55" s="211">
        <v>0</v>
      </c>
      <c r="Z55" s="211">
        <v>36.5</v>
      </c>
      <c r="AA55" s="211">
        <v>0</v>
      </c>
      <c r="AB55" s="210">
        <v>389.5</v>
      </c>
      <c r="AC55" s="32">
        <v>0.40154639175257734</v>
      </c>
      <c r="AD55" s="34">
        <v>3315067</v>
      </c>
      <c r="AE55" s="34">
        <v>195508</v>
      </c>
      <c r="AF55" s="34">
        <v>1613517</v>
      </c>
      <c r="AG55" s="34">
        <v>0</v>
      </c>
      <c r="AH55" s="9">
        <v>5124092</v>
      </c>
      <c r="AI55" s="210">
        <v>10248184</v>
      </c>
      <c r="AJ55" s="9">
        <v>5124092</v>
      </c>
      <c r="AK55" s="212">
        <v>389.5</v>
      </c>
      <c r="AL55" s="212">
        <v>0</v>
      </c>
      <c r="AM55" s="212">
        <v>970</v>
      </c>
      <c r="AN55" s="32">
        <v>0.40154639175257734</v>
      </c>
      <c r="AO55" s="210">
        <v>244735</v>
      </c>
      <c r="AP55" s="210">
        <v>0</v>
      </c>
      <c r="AQ55" s="210">
        <v>489470</v>
      </c>
      <c r="AR55" s="155">
        <v>244735</v>
      </c>
      <c r="AS55" s="210">
        <v>140</v>
      </c>
      <c r="AT55" s="87">
        <v>0</v>
      </c>
      <c r="AU55" s="210">
        <v>120582</v>
      </c>
      <c r="AV55" s="87">
        <v>60291</v>
      </c>
      <c r="AW55" s="136">
        <v>6.25</v>
      </c>
      <c r="AX55" s="210">
        <v>-31225</v>
      </c>
      <c r="AY55" s="210">
        <v>0</v>
      </c>
      <c r="AZ55" s="210">
        <v>270900</v>
      </c>
      <c r="BA55" s="210">
        <v>479350</v>
      </c>
      <c r="BB55" s="22">
        <v>239675</v>
      </c>
      <c r="BC55" s="210">
        <v>1575197</v>
      </c>
      <c r="BD55" s="7">
        <v>2100262.6666666665</v>
      </c>
      <c r="BE55" s="18">
        <v>1575197</v>
      </c>
      <c r="BF55" s="34">
        <v>0</v>
      </c>
      <c r="BG55" s="34">
        <v>0</v>
      </c>
      <c r="BH55" s="210">
        <v>0</v>
      </c>
      <c r="BI55" s="22">
        <v>0</v>
      </c>
      <c r="BJ55" s="210">
        <v>18671348</v>
      </c>
      <c r="BK55" s="18">
        <v>10166388</v>
      </c>
      <c r="BL55" s="136">
        <v>529.5</v>
      </c>
    </row>
    <row r="56" spans="1:64" ht="14.25" customHeight="1" x14ac:dyDescent="0.2">
      <c r="A56" s="209" t="s">
        <v>23</v>
      </c>
      <c r="B56" s="65">
        <v>0</v>
      </c>
      <c r="C56" s="143">
        <v>0</v>
      </c>
      <c r="D56" s="210">
        <v>0</v>
      </c>
      <c r="E56" s="210">
        <v>0</v>
      </c>
      <c r="F56" s="36">
        <v>0</v>
      </c>
      <c r="G56" s="144">
        <v>0</v>
      </c>
      <c r="H56" s="210">
        <v>0</v>
      </c>
      <c r="I56" s="170">
        <v>0</v>
      </c>
      <c r="J56" s="210">
        <v>0</v>
      </c>
      <c r="K56" s="170">
        <v>0</v>
      </c>
      <c r="L56" s="177">
        <v>0</v>
      </c>
      <c r="M56" s="36">
        <v>0</v>
      </c>
      <c r="N56" s="36">
        <v>0</v>
      </c>
      <c r="O56" s="193">
        <v>0</v>
      </c>
      <c r="P56" s="210">
        <v>0</v>
      </c>
      <c r="Q56" s="170">
        <v>0</v>
      </c>
      <c r="R56" s="210">
        <v>0</v>
      </c>
      <c r="S56" s="170">
        <v>0</v>
      </c>
      <c r="T56" s="36">
        <v>0</v>
      </c>
      <c r="U56" s="36">
        <v>0</v>
      </c>
      <c r="V56" s="35">
        <v>0</v>
      </c>
      <c r="W56" s="164">
        <v>0</v>
      </c>
      <c r="X56" s="211">
        <v>0</v>
      </c>
      <c r="Y56" s="211">
        <v>0</v>
      </c>
      <c r="Z56" s="211">
        <v>0</v>
      </c>
      <c r="AA56" s="211">
        <v>0</v>
      </c>
      <c r="AB56" s="210">
        <v>0</v>
      </c>
      <c r="AC56" s="32">
        <v>0</v>
      </c>
      <c r="AD56" s="34">
        <v>0</v>
      </c>
      <c r="AE56" s="34">
        <v>0</v>
      </c>
      <c r="AF56" s="34">
        <v>0</v>
      </c>
      <c r="AG56" s="34">
        <v>0</v>
      </c>
      <c r="AH56" s="9">
        <v>0</v>
      </c>
      <c r="AI56" s="210">
        <v>0</v>
      </c>
      <c r="AJ56" s="9">
        <v>0</v>
      </c>
      <c r="AK56" s="212">
        <v>0</v>
      </c>
      <c r="AL56" s="212">
        <v>0</v>
      </c>
      <c r="AM56" s="212">
        <v>0</v>
      </c>
      <c r="AN56" s="32">
        <v>0</v>
      </c>
      <c r="AO56" s="210">
        <v>0</v>
      </c>
      <c r="AP56" s="210">
        <v>0</v>
      </c>
      <c r="AQ56" s="210">
        <v>0</v>
      </c>
      <c r="AR56" s="155">
        <v>0</v>
      </c>
      <c r="AS56" s="210">
        <v>0</v>
      </c>
      <c r="AT56" s="87">
        <v>0</v>
      </c>
      <c r="AU56" s="210">
        <v>0</v>
      </c>
      <c r="AV56" s="87">
        <v>0</v>
      </c>
      <c r="AW56" s="136">
        <v>0</v>
      </c>
      <c r="AX56" s="210">
        <v>0</v>
      </c>
      <c r="AY56" s="210">
        <v>0</v>
      </c>
      <c r="AZ56" s="210">
        <v>0</v>
      </c>
      <c r="BA56" s="210">
        <v>0</v>
      </c>
      <c r="BB56" s="22">
        <v>0</v>
      </c>
      <c r="BC56" s="210">
        <v>0</v>
      </c>
      <c r="BD56" s="7">
        <v>0</v>
      </c>
      <c r="BE56" s="18">
        <v>0</v>
      </c>
      <c r="BF56" s="34">
        <v>0</v>
      </c>
      <c r="BG56" s="34">
        <v>0</v>
      </c>
      <c r="BH56" s="210">
        <v>0</v>
      </c>
      <c r="BI56" s="22">
        <v>0</v>
      </c>
      <c r="BJ56" s="210">
        <v>0</v>
      </c>
      <c r="BK56" s="18">
        <v>0</v>
      </c>
      <c r="BL56" s="136">
        <v>0</v>
      </c>
    </row>
    <row r="57" spans="1:64" x14ac:dyDescent="0.2">
      <c r="A57" s="209" t="s">
        <v>24</v>
      </c>
      <c r="B57" s="65">
        <v>31584414</v>
      </c>
      <c r="C57" s="143">
        <v>16286708</v>
      </c>
      <c r="D57" s="210">
        <v>3647745</v>
      </c>
      <c r="E57" s="210">
        <v>1882640</v>
      </c>
      <c r="F57" s="66">
        <v>383636</v>
      </c>
      <c r="G57" s="143">
        <v>198686</v>
      </c>
      <c r="H57" s="210">
        <v>0</v>
      </c>
      <c r="I57" s="170">
        <v>0</v>
      </c>
      <c r="J57" s="210">
        <v>0</v>
      </c>
      <c r="K57" s="170">
        <v>0</v>
      </c>
      <c r="L57" s="177">
        <v>657744</v>
      </c>
      <c r="M57" s="66">
        <v>35615795</v>
      </c>
      <c r="N57" s="66">
        <v>18368034</v>
      </c>
      <c r="O57" s="67">
        <v>17710290</v>
      </c>
      <c r="P57" s="210">
        <v>0</v>
      </c>
      <c r="Q57" s="170">
        <v>0</v>
      </c>
      <c r="R57" s="210">
        <v>0</v>
      </c>
      <c r="S57" s="170">
        <v>0</v>
      </c>
      <c r="T57" s="36">
        <v>0</v>
      </c>
      <c r="U57" s="36">
        <v>0</v>
      </c>
      <c r="V57" s="35">
        <v>35615795</v>
      </c>
      <c r="W57" s="164">
        <v>17710290</v>
      </c>
      <c r="X57" s="211">
        <v>1464.5</v>
      </c>
      <c r="Y57" s="211">
        <v>331.25</v>
      </c>
      <c r="Z57" s="211">
        <v>6.75</v>
      </c>
      <c r="AA57" s="211">
        <v>0</v>
      </c>
      <c r="AB57" s="210">
        <v>1802.5</v>
      </c>
      <c r="AC57" s="32">
        <v>0.36232976531483996</v>
      </c>
      <c r="AD57" s="34">
        <v>13400881</v>
      </c>
      <c r="AE57" s="34">
        <v>2769630</v>
      </c>
      <c r="AF57" s="34">
        <v>17399494</v>
      </c>
      <c r="AG57" s="34">
        <v>0</v>
      </c>
      <c r="AH57" s="9">
        <v>33570005</v>
      </c>
      <c r="AI57" s="210">
        <v>67140010</v>
      </c>
      <c r="AJ57" s="9">
        <v>33570005</v>
      </c>
      <c r="AK57" s="212">
        <v>2320.25</v>
      </c>
      <c r="AL57" s="212">
        <v>0</v>
      </c>
      <c r="AM57" s="212">
        <v>4974.75</v>
      </c>
      <c r="AN57" s="32">
        <v>0.46640534700236191</v>
      </c>
      <c r="AO57" s="210">
        <v>6704173</v>
      </c>
      <c r="AP57" s="210">
        <v>0</v>
      </c>
      <c r="AQ57" s="210">
        <v>13408346</v>
      </c>
      <c r="AR57" s="155">
        <v>6704173</v>
      </c>
      <c r="AS57" s="210">
        <v>2118.25</v>
      </c>
      <c r="AT57" s="87">
        <v>0</v>
      </c>
      <c r="AU57" s="210">
        <v>0</v>
      </c>
      <c r="AV57" s="87">
        <v>0</v>
      </c>
      <c r="AW57" s="136">
        <v>0</v>
      </c>
      <c r="AX57" s="210">
        <v>1933882</v>
      </c>
      <c r="AY57" s="210">
        <v>0</v>
      </c>
      <c r="AZ57" s="210">
        <v>0</v>
      </c>
      <c r="BA57" s="210">
        <v>3867764</v>
      </c>
      <c r="BB57" s="22">
        <v>1933882</v>
      </c>
      <c r="BC57" s="210">
        <v>227771</v>
      </c>
      <c r="BD57" s="7">
        <v>303694.66666666669</v>
      </c>
      <c r="BE57" s="18">
        <v>227771</v>
      </c>
      <c r="BF57" s="34">
        <v>0</v>
      </c>
      <c r="BG57" s="34">
        <v>0</v>
      </c>
      <c r="BH57" s="210">
        <v>0</v>
      </c>
      <c r="BI57" s="22">
        <v>0</v>
      </c>
      <c r="BJ57" s="210">
        <v>120335597</v>
      </c>
      <c r="BK57" s="18">
        <v>60146119</v>
      </c>
      <c r="BL57" s="136">
        <v>4438.5</v>
      </c>
    </row>
    <row r="58" spans="1:64" ht="13.5" customHeight="1" x14ac:dyDescent="0.2">
      <c r="A58" s="209" t="s">
        <v>145</v>
      </c>
      <c r="B58" s="65">
        <v>48699894</v>
      </c>
      <c r="C58" s="143">
        <v>24485791</v>
      </c>
      <c r="D58" s="210">
        <v>1343208</v>
      </c>
      <c r="E58" s="210">
        <v>687454</v>
      </c>
      <c r="F58" s="36">
        <v>0</v>
      </c>
      <c r="G58" s="144">
        <v>0</v>
      </c>
      <c r="H58" s="210">
        <v>0</v>
      </c>
      <c r="I58" s="170">
        <v>0</v>
      </c>
      <c r="J58" s="210">
        <v>0</v>
      </c>
      <c r="K58" s="170">
        <v>0</v>
      </c>
      <c r="L58" s="177">
        <v>-868</v>
      </c>
      <c r="M58" s="66">
        <v>50043102</v>
      </c>
      <c r="N58" s="66">
        <v>25173245</v>
      </c>
      <c r="O58" s="67">
        <v>25174113</v>
      </c>
      <c r="P58" s="210">
        <v>162602</v>
      </c>
      <c r="Q58" s="170">
        <v>122231</v>
      </c>
      <c r="R58" s="210">
        <v>0</v>
      </c>
      <c r="S58" s="170">
        <v>0</v>
      </c>
      <c r="T58" s="66">
        <v>162602</v>
      </c>
      <c r="U58" s="66">
        <v>122231</v>
      </c>
      <c r="V58" s="35">
        <v>50205704</v>
      </c>
      <c r="W58" s="164">
        <v>25296344</v>
      </c>
      <c r="X58" s="211">
        <v>3289</v>
      </c>
      <c r="Y58" s="211">
        <v>8.5</v>
      </c>
      <c r="Z58" s="211">
        <v>0</v>
      </c>
      <c r="AA58" s="211">
        <v>0</v>
      </c>
      <c r="AB58" s="210">
        <v>3297.5</v>
      </c>
      <c r="AC58" s="32">
        <v>0.14339138564564172</v>
      </c>
      <c r="AD58" s="34">
        <v>0</v>
      </c>
      <c r="AE58" s="34">
        <v>690785</v>
      </c>
      <c r="AF58" s="34">
        <v>104143227</v>
      </c>
      <c r="AG58" s="34">
        <v>12357816</v>
      </c>
      <c r="AH58" s="9">
        <v>117191828</v>
      </c>
      <c r="AI58" s="210">
        <v>234383656</v>
      </c>
      <c r="AJ58" s="9">
        <v>117191828</v>
      </c>
      <c r="AK58" s="212">
        <v>1610.25</v>
      </c>
      <c r="AL58" s="212">
        <v>14637</v>
      </c>
      <c r="AM58" s="212">
        <v>22996.5</v>
      </c>
      <c r="AN58" s="32">
        <v>7.002152501467615E-2</v>
      </c>
      <c r="AO58" s="210">
        <v>0</v>
      </c>
      <c r="AP58" s="210">
        <v>0</v>
      </c>
      <c r="AQ58" s="210">
        <v>0</v>
      </c>
      <c r="AR58" s="155">
        <v>0</v>
      </c>
      <c r="AS58" s="210">
        <v>0</v>
      </c>
      <c r="AT58" s="87">
        <v>0</v>
      </c>
      <c r="AU58" s="210">
        <v>0</v>
      </c>
      <c r="AV58" s="87">
        <v>0</v>
      </c>
      <c r="AW58" s="136">
        <v>0</v>
      </c>
      <c r="AX58" s="210">
        <v>3956329</v>
      </c>
      <c r="AY58" s="210">
        <v>985673</v>
      </c>
      <c r="AZ58" s="210">
        <v>2039032</v>
      </c>
      <c r="BA58" s="210">
        <v>13962068</v>
      </c>
      <c r="BB58" s="22">
        <v>6981034</v>
      </c>
      <c r="BC58" s="210">
        <v>10337130</v>
      </c>
      <c r="BD58" s="7">
        <v>13782840</v>
      </c>
      <c r="BE58" s="18">
        <v>10337130</v>
      </c>
      <c r="BF58" s="34">
        <v>0</v>
      </c>
      <c r="BG58" s="34">
        <v>0</v>
      </c>
      <c r="BH58" s="210">
        <v>0</v>
      </c>
      <c r="BI58" s="22">
        <v>0</v>
      </c>
      <c r="BJ58" s="210">
        <v>312334254</v>
      </c>
      <c r="BK58" s="18">
        <v>159806336</v>
      </c>
      <c r="BL58" s="136">
        <v>1610.25</v>
      </c>
    </row>
    <row r="59" spans="1:64" ht="15" customHeight="1" x14ac:dyDescent="0.2">
      <c r="A59" s="209" t="s">
        <v>146</v>
      </c>
      <c r="B59" s="65">
        <v>21803874</v>
      </c>
      <c r="C59" s="143">
        <v>16234410</v>
      </c>
      <c r="D59" s="210">
        <v>40011538</v>
      </c>
      <c r="E59" s="210">
        <v>29805878</v>
      </c>
      <c r="F59" s="36">
        <v>0</v>
      </c>
      <c r="G59" s="144">
        <v>0</v>
      </c>
      <c r="H59" s="210">
        <v>0</v>
      </c>
      <c r="I59" s="170">
        <v>0</v>
      </c>
      <c r="J59" s="210">
        <v>0</v>
      </c>
      <c r="K59" s="170">
        <v>0</v>
      </c>
      <c r="L59" s="177">
        <v>89182</v>
      </c>
      <c r="M59" s="66">
        <v>61815412</v>
      </c>
      <c r="N59" s="66">
        <v>46040288</v>
      </c>
      <c r="O59" s="67">
        <v>45951106</v>
      </c>
      <c r="P59" s="210">
        <v>0</v>
      </c>
      <c r="Q59" s="170">
        <v>0</v>
      </c>
      <c r="R59" s="210">
        <v>0</v>
      </c>
      <c r="S59" s="170">
        <v>0</v>
      </c>
      <c r="T59" s="36">
        <v>0</v>
      </c>
      <c r="U59" s="36">
        <v>0</v>
      </c>
      <c r="V59" s="35">
        <v>61815412</v>
      </c>
      <c r="W59" s="164">
        <v>45951106</v>
      </c>
      <c r="X59" s="211">
        <v>1250</v>
      </c>
      <c r="Y59" s="211">
        <v>195</v>
      </c>
      <c r="Z59" s="211">
        <v>0</v>
      </c>
      <c r="AA59" s="211">
        <v>0</v>
      </c>
      <c r="AB59" s="210">
        <v>1445</v>
      </c>
      <c r="AC59" s="32">
        <v>0.44502617801047123</v>
      </c>
      <c r="AD59" s="34">
        <v>12098620</v>
      </c>
      <c r="AE59" s="34">
        <v>1878</v>
      </c>
      <c r="AF59" s="34">
        <v>8086858</v>
      </c>
      <c r="AG59" s="34">
        <v>3849017</v>
      </c>
      <c r="AH59" s="9">
        <v>24036373</v>
      </c>
      <c r="AI59" s="210">
        <v>48072746</v>
      </c>
      <c r="AJ59" s="9">
        <v>24036373</v>
      </c>
      <c r="AK59" s="212">
        <v>1692</v>
      </c>
      <c r="AL59" s="212">
        <v>2108.75</v>
      </c>
      <c r="AM59" s="212">
        <v>3247</v>
      </c>
      <c r="AN59" s="32">
        <v>0.52109639667385277</v>
      </c>
      <c r="AO59" s="210">
        <v>4148150</v>
      </c>
      <c r="AP59" s="210">
        <v>0</v>
      </c>
      <c r="AQ59" s="210">
        <v>8296300</v>
      </c>
      <c r="AR59" s="155">
        <v>4148150</v>
      </c>
      <c r="AS59" s="210">
        <v>0</v>
      </c>
      <c r="AT59" s="87">
        <v>0</v>
      </c>
      <c r="AU59" s="210">
        <v>454</v>
      </c>
      <c r="AV59" s="87">
        <v>227</v>
      </c>
      <c r="AW59" s="136">
        <v>0</v>
      </c>
      <c r="AX59" s="210">
        <v>0</v>
      </c>
      <c r="AY59" s="210">
        <v>2277343</v>
      </c>
      <c r="AZ59" s="210">
        <v>0</v>
      </c>
      <c r="BA59" s="210">
        <v>4554686</v>
      </c>
      <c r="BB59" s="22">
        <v>2277343</v>
      </c>
      <c r="BC59" s="210">
        <v>4138055</v>
      </c>
      <c r="BD59" s="7">
        <v>5517406.666666667</v>
      </c>
      <c r="BE59" s="18">
        <v>4138055</v>
      </c>
      <c r="BF59" s="34">
        <v>0</v>
      </c>
      <c r="BG59" s="34">
        <v>0</v>
      </c>
      <c r="BH59" s="210">
        <v>0</v>
      </c>
      <c r="BI59" s="22">
        <v>0</v>
      </c>
      <c r="BJ59" s="210">
        <v>128256988</v>
      </c>
      <c r="BK59" s="18">
        <v>80551252</v>
      </c>
      <c r="BL59" s="136">
        <v>1692</v>
      </c>
    </row>
    <row r="60" spans="1:64" ht="13.5" customHeight="1" x14ac:dyDescent="0.2">
      <c r="A60" s="209" t="s">
        <v>147</v>
      </c>
      <c r="B60" s="65">
        <v>23374073</v>
      </c>
      <c r="C60" s="143">
        <v>14255265</v>
      </c>
      <c r="D60" s="210">
        <v>2618189</v>
      </c>
      <c r="E60" s="210">
        <v>1594890</v>
      </c>
      <c r="F60" s="66">
        <v>-249052</v>
      </c>
      <c r="G60" s="143">
        <v>-176192</v>
      </c>
      <c r="H60" s="210">
        <v>0</v>
      </c>
      <c r="I60" s="170">
        <v>0</v>
      </c>
      <c r="J60" s="210">
        <v>0</v>
      </c>
      <c r="K60" s="170">
        <v>0</v>
      </c>
      <c r="L60" s="177">
        <v>1738111</v>
      </c>
      <c r="M60" s="66">
        <v>25743210</v>
      </c>
      <c r="N60" s="66">
        <v>15673963</v>
      </c>
      <c r="O60" s="67">
        <v>13935852</v>
      </c>
      <c r="P60" s="210">
        <v>0</v>
      </c>
      <c r="Q60" s="170">
        <v>0</v>
      </c>
      <c r="R60" s="210">
        <v>0</v>
      </c>
      <c r="S60" s="170">
        <v>0</v>
      </c>
      <c r="T60" s="36">
        <v>0</v>
      </c>
      <c r="U60" s="36">
        <v>0</v>
      </c>
      <c r="V60" s="35">
        <v>25743210</v>
      </c>
      <c r="W60" s="164">
        <v>13935852</v>
      </c>
      <c r="X60" s="211">
        <v>2057.25</v>
      </c>
      <c r="Y60" s="211">
        <v>29</v>
      </c>
      <c r="Z60" s="211">
        <v>9</v>
      </c>
      <c r="AA60" s="211">
        <v>0</v>
      </c>
      <c r="AB60" s="210">
        <v>2095.25</v>
      </c>
      <c r="AC60" s="32">
        <v>0.32227178343459201</v>
      </c>
      <c r="AD60" s="34">
        <v>31911395</v>
      </c>
      <c r="AE60" s="34">
        <v>1178170</v>
      </c>
      <c r="AF60" s="34">
        <v>12090660</v>
      </c>
      <c r="AG60" s="34">
        <v>1686735</v>
      </c>
      <c r="AH60" s="9">
        <v>46866960</v>
      </c>
      <c r="AI60" s="210">
        <v>93733920</v>
      </c>
      <c r="AJ60" s="9">
        <v>46866960</v>
      </c>
      <c r="AK60" s="212">
        <v>2976.75</v>
      </c>
      <c r="AL60" s="212">
        <v>43.5</v>
      </c>
      <c r="AM60" s="212">
        <v>6501.5</v>
      </c>
      <c r="AN60" s="32">
        <v>0.45785587941244327</v>
      </c>
      <c r="AO60" s="210">
        <v>4351476</v>
      </c>
      <c r="AP60" s="210">
        <v>312574</v>
      </c>
      <c r="AQ60" s="210">
        <v>9328100</v>
      </c>
      <c r="AR60" s="155">
        <v>4664050</v>
      </c>
      <c r="AS60" s="210">
        <v>329.25</v>
      </c>
      <c r="AT60" s="87">
        <v>14</v>
      </c>
      <c r="AU60" s="210">
        <v>171192</v>
      </c>
      <c r="AV60" s="87">
        <v>85596</v>
      </c>
      <c r="AW60" s="136">
        <v>82.75</v>
      </c>
      <c r="AX60" s="210">
        <v>0</v>
      </c>
      <c r="AY60" s="210">
        <v>3398512</v>
      </c>
      <c r="AZ60" s="210">
        <v>247295</v>
      </c>
      <c r="BA60" s="210">
        <v>7291614</v>
      </c>
      <c r="BB60" s="22">
        <v>3645807</v>
      </c>
      <c r="BC60" s="210">
        <v>7524566</v>
      </c>
      <c r="BD60" s="7">
        <v>10032754.666666666</v>
      </c>
      <c r="BE60" s="18">
        <v>7524566</v>
      </c>
      <c r="BF60" s="34">
        <v>0</v>
      </c>
      <c r="BG60" s="34">
        <v>0</v>
      </c>
      <c r="BH60" s="210">
        <v>0</v>
      </c>
      <c r="BI60" s="22">
        <v>0</v>
      </c>
      <c r="BJ60" s="210">
        <v>146300775</v>
      </c>
      <c r="BK60" s="18">
        <v>76722832</v>
      </c>
      <c r="BL60" s="136">
        <v>3306</v>
      </c>
    </row>
    <row r="61" spans="1:64" x14ac:dyDescent="0.2">
      <c r="A61" s="209" t="s">
        <v>25</v>
      </c>
      <c r="B61" s="65">
        <v>939415</v>
      </c>
      <c r="C61" s="143">
        <v>474559</v>
      </c>
      <c r="D61" s="210">
        <v>0</v>
      </c>
      <c r="E61" s="210">
        <v>0</v>
      </c>
      <c r="F61" s="36">
        <v>0</v>
      </c>
      <c r="G61" s="144">
        <v>0</v>
      </c>
      <c r="H61" s="210">
        <v>0</v>
      </c>
      <c r="I61" s="170">
        <v>0</v>
      </c>
      <c r="J61" s="210">
        <v>0</v>
      </c>
      <c r="K61" s="170">
        <v>0</v>
      </c>
      <c r="L61" s="177">
        <v>82953</v>
      </c>
      <c r="M61" s="66">
        <v>939415</v>
      </c>
      <c r="N61" s="66">
        <v>474559</v>
      </c>
      <c r="O61" s="67">
        <v>391606</v>
      </c>
      <c r="P61" s="210">
        <v>0</v>
      </c>
      <c r="Q61" s="170">
        <v>0</v>
      </c>
      <c r="R61" s="210">
        <v>0</v>
      </c>
      <c r="S61" s="170">
        <v>0</v>
      </c>
      <c r="T61" s="36">
        <v>0</v>
      </c>
      <c r="U61" s="36">
        <v>0</v>
      </c>
      <c r="V61" s="35">
        <v>939415</v>
      </c>
      <c r="W61" s="164">
        <v>391606</v>
      </c>
      <c r="X61" s="211">
        <v>102</v>
      </c>
      <c r="Y61" s="211">
        <v>0</v>
      </c>
      <c r="Z61" s="211">
        <v>0</v>
      </c>
      <c r="AA61" s="211">
        <v>0</v>
      </c>
      <c r="AB61" s="210">
        <v>102</v>
      </c>
      <c r="AC61" s="32">
        <v>0.21316614420062696</v>
      </c>
      <c r="AD61" s="34">
        <v>627658</v>
      </c>
      <c r="AE61" s="34">
        <v>232290</v>
      </c>
      <c r="AF61" s="34">
        <v>704990</v>
      </c>
      <c r="AG61" s="34">
        <v>164643</v>
      </c>
      <c r="AH61" s="9">
        <v>1729581</v>
      </c>
      <c r="AI61" s="210">
        <v>3459162</v>
      </c>
      <c r="AJ61" s="9">
        <v>1729581</v>
      </c>
      <c r="AK61" s="212">
        <v>102</v>
      </c>
      <c r="AL61" s="212">
        <v>682.25</v>
      </c>
      <c r="AM61" s="212">
        <v>478.5</v>
      </c>
      <c r="AN61" s="32">
        <v>0.21316614420062696</v>
      </c>
      <c r="AO61" s="210">
        <v>0</v>
      </c>
      <c r="AP61" s="210">
        <v>0</v>
      </c>
      <c r="AQ61" s="210">
        <v>0</v>
      </c>
      <c r="AR61" s="155">
        <v>0</v>
      </c>
      <c r="AS61" s="210">
        <v>0</v>
      </c>
      <c r="AT61" s="87">
        <v>0</v>
      </c>
      <c r="AU61" s="210">
        <v>3032</v>
      </c>
      <c r="AV61" s="87">
        <v>1516</v>
      </c>
      <c r="AW61" s="136">
        <v>0.75</v>
      </c>
      <c r="AX61" s="210">
        <v>26240</v>
      </c>
      <c r="AY61" s="210">
        <v>2457474</v>
      </c>
      <c r="AZ61" s="210">
        <v>3488110</v>
      </c>
      <c r="BA61" s="210">
        <v>11943648</v>
      </c>
      <c r="BB61" s="22">
        <v>5971824</v>
      </c>
      <c r="BC61" s="210">
        <v>225319</v>
      </c>
      <c r="BD61" s="7">
        <v>300425.33333333331</v>
      </c>
      <c r="BE61" s="18">
        <v>225319</v>
      </c>
      <c r="BF61" s="34">
        <v>0</v>
      </c>
      <c r="BG61" s="34">
        <v>0</v>
      </c>
      <c r="BH61" s="210">
        <v>0</v>
      </c>
      <c r="BI61" s="22">
        <v>0</v>
      </c>
      <c r="BJ61" s="210">
        <v>16645655</v>
      </c>
      <c r="BK61" s="18">
        <v>8319846</v>
      </c>
      <c r="BL61" s="136">
        <v>102</v>
      </c>
    </row>
    <row r="62" spans="1:64" ht="20.85" customHeight="1" x14ac:dyDescent="0.2">
      <c r="A62" s="213" t="s">
        <v>26</v>
      </c>
      <c r="B62" s="230">
        <v>2005268410</v>
      </c>
      <c r="C62" s="145">
        <v>1142334101</v>
      </c>
      <c r="D62" s="55">
        <v>294686882</v>
      </c>
      <c r="E62" s="55">
        <v>183086544</v>
      </c>
      <c r="F62" s="55">
        <v>29405563</v>
      </c>
      <c r="G62" s="145">
        <v>17203563</v>
      </c>
      <c r="H62" s="55">
        <v>401512</v>
      </c>
      <c r="I62" s="145">
        <v>244900</v>
      </c>
      <c r="J62" s="55">
        <v>-798940</v>
      </c>
      <c r="K62" s="145">
        <v>-508472</v>
      </c>
      <c r="L62" s="178">
        <v>22274284</v>
      </c>
      <c r="M62" s="55">
        <v>2328963427</v>
      </c>
      <c r="N62" s="55">
        <v>1342360636</v>
      </c>
      <c r="O62" s="56">
        <v>1320086352</v>
      </c>
      <c r="P62" s="55">
        <v>14618456</v>
      </c>
      <c r="Q62" s="145">
        <v>12161609</v>
      </c>
      <c r="R62" s="55">
        <v>438500</v>
      </c>
      <c r="S62" s="145">
        <v>365197</v>
      </c>
      <c r="T62" s="55">
        <v>15056956</v>
      </c>
      <c r="U62" s="56">
        <v>12526806</v>
      </c>
      <c r="V62" s="13">
        <v>2344020383</v>
      </c>
      <c r="W62" s="156">
        <v>1332613158</v>
      </c>
      <c r="X62" s="214">
        <v>104640.25</v>
      </c>
      <c r="Y62" s="214">
        <v>4958</v>
      </c>
      <c r="Z62" s="214">
        <v>2402.5</v>
      </c>
      <c r="AA62" s="214">
        <v>10</v>
      </c>
      <c r="AB62" s="214">
        <v>112010.75</v>
      </c>
      <c r="AC62" s="33">
        <v>0.32884903608037824</v>
      </c>
      <c r="AD62" s="31">
        <v>1235173196</v>
      </c>
      <c r="AE62" s="13">
        <v>198296331</v>
      </c>
      <c r="AF62" s="13">
        <v>967538158</v>
      </c>
      <c r="AG62" s="13">
        <v>146536441</v>
      </c>
      <c r="AH62" s="13">
        <v>2547544126</v>
      </c>
      <c r="AI62" s="13">
        <v>5095088252</v>
      </c>
      <c r="AJ62" s="13">
        <v>2547544126</v>
      </c>
      <c r="AK62" s="214">
        <v>128645.75</v>
      </c>
      <c r="AL62" s="214">
        <v>72893.25</v>
      </c>
      <c r="AM62" s="214">
        <v>340614.5</v>
      </c>
      <c r="AN62" s="33">
        <v>0.37768723879928778</v>
      </c>
      <c r="AO62" s="13">
        <v>500080323</v>
      </c>
      <c r="AP62" s="13">
        <v>26500848</v>
      </c>
      <c r="AQ62" s="13">
        <v>1053162342</v>
      </c>
      <c r="AR62" s="156">
        <v>526581171</v>
      </c>
      <c r="AS62" s="59">
        <v>110613.25</v>
      </c>
      <c r="AT62" s="58">
        <v>14057.25</v>
      </c>
      <c r="AU62" s="214">
        <v>23379276</v>
      </c>
      <c r="AV62" s="13">
        <v>11689638</v>
      </c>
      <c r="AW62" s="214">
        <v>6082</v>
      </c>
      <c r="AX62" s="31">
        <v>17707890</v>
      </c>
      <c r="AY62" s="13">
        <v>167959283</v>
      </c>
      <c r="AZ62" s="13">
        <v>177434647</v>
      </c>
      <c r="BA62" s="13">
        <v>726203640</v>
      </c>
      <c r="BB62" s="19">
        <v>363101820</v>
      </c>
      <c r="BC62" s="13">
        <v>356251335</v>
      </c>
      <c r="BD62" s="13">
        <v>475001779.99999994</v>
      </c>
      <c r="BE62" s="19">
        <v>356251335</v>
      </c>
      <c r="BF62" s="13">
        <v>-7868</v>
      </c>
      <c r="BG62" s="13">
        <v>-4997</v>
      </c>
      <c r="BH62" s="13">
        <v>-7868</v>
      </c>
      <c r="BI62" s="19">
        <v>-4997</v>
      </c>
      <c r="BJ62" s="13">
        <v>9716847422</v>
      </c>
      <c r="BK62" s="19">
        <v>5138452374</v>
      </c>
      <c r="BL62" s="58">
        <v>239259</v>
      </c>
    </row>
    <row r="63" spans="1:64" ht="16.149999999999999" customHeight="1" thickBot="1" x14ac:dyDescent="0.25">
      <c r="A63" s="215" t="s">
        <v>38</v>
      </c>
      <c r="B63" s="231"/>
      <c r="C63" s="146"/>
      <c r="D63" s="216"/>
      <c r="E63" s="216"/>
      <c r="F63" s="216"/>
      <c r="G63" s="146"/>
      <c r="H63" s="216"/>
      <c r="I63" s="146"/>
      <c r="J63" s="216"/>
      <c r="K63" s="146"/>
      <c r="L63" s="179"/>
      <c r="M63" s="216"/>
      <c r="N63" s="216"/>
      <c r="O63" s="57"/>
      <c r="P63" s="216"/>
      <c r="Q63" s="146"/>
      <c r="R63" s="216"/>
      <c r="S63" s="146"/>
      <c r="T63" s="216"/>
      <c r="U63" s="57"/>
      <c r="V63" s="216"/>
      <c r="W63" s="157"/>
      <c r="X63" s="217"/>
      <c r="Y63" s="217"/>
      <c r="Z63" s="217"/>
      <c r="AA63" s="217"/>
      <c r="AB63" s="217"/>
      <c r="AC63" s="41"/>
      <c r="AD63" s="42"/>
      <c r="AE63" s="42"/>
      <c r="AF63" s="42"/>
      <c r="AG63" s="42"/>
      <c r="AH63" s="217"/>
      <c r="AI63" s="217"/>
      <c r="AJ63" s="217"/>
      <c r="AK63" s="217"/>
      <c r="AL63" s="217"/>
      <c r="AM63" s="217"/>
      <c r="AN63" s="43"/>
      <c r="AO63" s="217"/>
      <c r="AP63" s="217"/>
      <c r="AQ63" s="217"/>
      <c r="AR63" s="157"/>
      <c r="AS63" s="60"/>
      <c r="AT63" s="43"/>
      <c r="AU63" s="217"/>
      <c r="AV63" s="217"/>
      <c r="AW63" s="43"/>
      <c r="AX63" s="217"/>
      <c r="AY63" s="217"/>
      <c r="AZ63" s="217"/>
      <c r="BA63" s="217"/>
      <c r="BB63" s="43"/>
      <c r="BC63" s="217"/>
      <c r="BD63" s="217"/>
      <c r="BE63" s="43"/>
      <c r="BF63" s="217"/>
      <c r="BG63" s="217"/>
      <c r="BH63" s="217"/>
      <c r="BI63" s="43"/>
      <c r="BJ63" s="217"/>
      <c r="BK63" s="43"/>
      <c r="BL63" s="43"/>
    </row>
    <row r="64" spans="1:64" ht="23.65" customHeight="1" x14ac:dyDescent="0.2">
      <c r="A64" s="218" t="s">
        <v>31</v>
      </c>
      <c r="B64" s="65">
        <v>274547</v>
      </c>
      <c r="C64" s="66">
        <v>228242</v>
      </c>
      <c r="D64" s="186">
        <v>0</v>
      </c>
      <c r="E64" s="190">
        <v>0</v>
      </c>
      <c r="F64" s="191">
        <v>0</v>
      </c>
      <c r="G64" s="192">
        <v>0</v>
      </c>
      <c r="H64" s="186">
        <v>0</v>
      </c>
      <c r="I64" s="187">
        <v>0</v>
      </c>
      <c r="J64" s="210">
        <v>0</v>
      </c>
      <c r="K64" s="170">
        <v>0</v>
      </c>
      <c r="L64" s="177">
        <v>0</v>
      </c>
      <c r="M64" s="66">
        <v>274547</v>
      </c>
      <c r="N64" s="66">
        <v>228242</v>
      </c>
      <c r="O64" s="67">
        <v>228242</v>
      </c>
      <c r="P64" s="190">
        <v>0</v>
      </c>
      <c r="Q64" s="187">
        <v>0</v>
      </c>
      <c r="R64" s="210">
        <v>0</v>
      </c>
      <c r="S64" s="170">
        <v>0</v>
      </c>
      <c r="T64" s="211">
        <v>0</v>
      </c>
      <c r="U64" s="211">
        <v>0</v>
      </c>
      <c r="V64" s="200">
        <v>274547</v>
      </c>
      <c r="W64" s="201">
        <v>228242</v>
      </c>
      <c r="X64" s="211">
        <v>49.5</v>
      </c>
      <c r="Y64" s="211">
        <v>0</v>
      </c>
      <c r="Z64" s="211">
        <v>0</v>
      </c>
      <c r="AA64" s="211">
        <v>0</v>
      </c>
      <c r="AB64" s="210">
        <v>49.5</v>
      </c>
      <c r="AC64" s="32">
        <v>0.47142857142857142</v>
      </c>
      <c r="AD64" s="34">
        <v>266267</v>
      </c>
      <c r="AE64" s="34">
        <v>37853</v>
      </c>
      <c r="AF64" s="34">
        <v>15786</v>
      </c>
      <c r="AG64" s="34">
        <v>0</v>
      </c>
      <c r="AH64" s="9">
        <v>319906</v>
      </c>
      <c r="AI64" s="210">
        <v>639812</v>
      </c>
      <c r="AJ64" s="9">
        <v>319906</v>
      </c>
      <c r="AK64" s="212">
        <v>74</v>
      </c>
      <c r="AL64" s="212">
        <v>0</v>
      </c>
      <c r="AM64" s="212">
        <v>105</v>
      </c>
      <c r="AN64" s="32">
        <v>0.70476190476190481</v>
      </c>
      <c r="AO64" s="210">
        <v>0</v>
      </c>
      <c r="AP64" s="210">
        <v>0</v>
      </c>
      <c r="AQ64" s="210">
        <v>0</v>
      </c>
      <c r="AR64" s="154">
        <v>0</v>
      </c>
      <c r="AS64" s="210">
        <v>0</v>
      </c>
      <c r="AT64" s="87">
        <v>0</v>
      </c>
      <c r="AU64" s="210">
        <v>0</v>
      </c>
      <c r="AV64" s="87">
        <v>0</v>
      </c>
      <c r="AW64" s="136">
        <v>0</v>
      </c>
      <c r="AX64" s="210">
        <v>5985</v>
      </c>
      <c r="AY64" s="210">
        <v>0</v>
      </c>
      <c r="AZ64" s="210">
        <v>0</v>
      </c>
      <c r="BA64" s="210">
        <v>11970</v>
      </c>
      <c r="BB64" s="22">
        <v>5985</v>
      </c>
      <c r="BC64" s="210">
        <v>4676</v>
      </c>
      <c r="BD64" s="7">
        <v>6234.666666666667</v>
      </c>
      <c r="BE64" s="18">
        <v>4676</v>
      </c>
      <c r="BF64" s="34">
        <v>0</v>
      </c>
      <c r="BG64" s="34">
        <v>0</v>
      </c>
      <c r="BH64" s="210">
        <v>0</v>
      </c>
      <c r="BI64" s="22">
        <v>0</v>
      </c>
      <c r="BJ64" s="210">
        <v>932561</v>
      </c>
      <c r="BK64" s="18">
        <v>558809</v>
      </c>
      <c r="BL64" s="136">
        <v>74</v>
      </c>
    </row>
    <row r="65" spans="1:64" ht="26.1" customHeight="1" x14ac:dyDescent="0.2">
      <c r="A65" s="218" t="s">
        <v>43</v>
      </c>
      <c r="B65" s="65">
        <v>0</v>
      </c>
      <c r="C65" s="66">
        <v>0</v>
      </c>
      <c r="D65" s="21">
        <v>0</v>
      </c>
      <c r="E65" s="210">
        <v>0</v>
      </c>
      <c r="F65" s="36">
        <v>0</v>
      </c>
      <c r="G65" s="193">
        <v>0</v>
      </c>
      <c r="H65" s="21">
        <v>0</v>
      </c>
      <c r="I65" s="18">
        <v>0</v>
      </c>
      <c r="J65" s="210">
        <v>0</v>
      </c>
      <c r="K65" s="170">
        <v>0</v>
      </c>
      <c r="L65" s="177">
        <v>0</v>
      </c>
      <c r="M65" s="66">
        <v>0</v>
      </c>
      <c r="N65" s="66">
        <v>0</v>
      </c>
      <c r="O65" s="67">
        <v>0</v>
      </c>
      <c r="P65" s="210">
        <v>0</v>
      </c>
      <c r="Q65" s="18">
        <v>0</v>
      </c>
      <c r="R65" s="210">
        <v>0</v>
      </c>
      <c r="S65" s="170">
        <v>0</v>
      </c>
      <c r="T65" s="211">
        <v>0</v>
      </c>
      <c r="U65" s="211">
        <v>0</v>
      </c>
      <c r="V65" s="35">
        <v>0</v>
      </c>
      <c r="W65" s="202">
        <v>0</v>
      </c>
      <c r="X65" s="211">
        <v>0</v>
      </c>
      <c r="Y65" s="211">
        <v>0</v>
      </c>
      <c r="Z65" s="211">
        <v>0</v>
      </c>
      <c r="AA65" s="211">
        <v>0</v>
      </c>
      <c r="AB65" s="210">
        <v>0</v>
      </c>
      <c r="AC65" s="32">
        <v>0</v>
      </c>
      <c r="AD65" s="34">
        <v>0</v>
      </c>
      <c r="AE65" s="34">
        <v>8491</v>
      </c>
      <c r="AF65" s="34">
        <v>0</v>
      </c>
      <c r="AG65" s="34">
        <v>0</v>
      </c>
      <c r="AH65" s="9">
        <v>8491</v>
      </c>
      <c r="AI65" s="210">
        <v>16982</v>
      </c>
      <c r="AJ65" s="9">
        <v>8491</v>
      </c>
      <c r="AK65" s="212">
        <v>2</v>
      </c>
      <c r="AL65" s="212">
        <v>0</v>
      </c>
      <c r="AM65" s="212">
        <v>2.75</v>
      </c>
      <c r="AN65" s="32">
        <v>0.72727272727272729</v>
      </c>
      <c r="AO65" s="210">
        <v>32</v>
      </c>
      <c r="AP65" s="210">
        <v>0</v>
      </c>
      <c r="AQ65" s="210">
        <v>64</v>
      </c>
      <c r="AR65" s="154">
        <v>32</v>
      </c>
      <c r="AS65" s="210">
        <v>2.75</v>
      </c>
      <c r="AT65" s="87">
        <v>0</v>
      </c>
      <c r="AU65" s="210">
        <v>0</v>
      </c>
      <c r="AV65" s="87">
        <v>0</v>
      </c>
      <c r="AW65" s="136">
        <v>0</v>
      </c>
      <c r="AX65" s="210">
        <v>0</v>
      </c>
      <c r="AY65" s="210">
        <v>0</v>
      </c>
      <c r="AZ65" s="210">
        <v>0</v>
      </c>
      <c r="BA65" s="210">
        <v>0</v>
      </c>
      <c r="BB65" s="22">
        <v>0</v>
      </c>
      <c r="BC65" s="210">
        <v>1549</v>
      </c>
      <c r="BD65" s="7">
        <v>2065.3333333333335</v>
      </c>
      <c r="BE65" s="18">
        <v>1549</v>
      </c>
      <c r="BF65" s="34">
        <v>0</v>
      </c>
      <c r="BG65" s="34">
        <v>0</v>
      </c>
      <c r="BH65" s="210">
        <v>0</v>
      </c>
      <c r="BI65" s="22">
        <v>0</v>
      </c>
      <c r="BJ65" s="210">
        <v>19109</v>
      </c>
      <c r="BK65" s="18">
        <v>10072</v>
      </c>
      <c r="BL65" s="136">
        <v>4.75</v>
      </c>
    </row>
    <row r="66" spans="1:64" ht="23.85" customHeight="1" x14ac:dyDescent="0.2">
      <c r="A66" s="219" t="s">
        <v>39</v>
      </c>
      <c r="B66" s="65">
        <v>214561</v>
      </c>
      <c r="C66" s="66">
        <v>178975</v>
      </c>
      <c r="D66" s="21">
        <v>0</v>
      </c>
      <c r="E66" s="210">
        <v>0</v>
      </c>
      <c r="F66" s="36">
        <v>0</v>
      </c>
      <c r="G66" s="193">
        <v>0</v>
      </c>
      <c r="H66" s="21">
        <v>0</v>
      </c>
      <c r="I66" s="18">
        <v>0</v>
      </c>
      <c r="J66" s="210">
        <v>0</v>
      </c>
      <c r="K66" s="170">
        <v>0</v>
      </c>
      <c r="L66" s="177">
        <v>0</v>
      </c>
      <c r="M66" s="66">
        <v>214561</v>
      </c>
      <c r="N66" s="66">
        <v>178975</v>
      </c>
      <c r="O66" s="67">
        <v>178975</v>
      </c>
      <c r="P66" s="210">
        <v>0</v>
      </c>
      <c r="Q66" s="18">
        <v>0</v>
      </c>
      <c r="R66" s="210">
        <v>0</v>
      </c>
      <c r="S66" s="170">
        <v>0</v>
      </c>
      <c r="T66" s="211">
        <v>0</v>
      </c>
      <c r="U66" s="211">
        <v>0</v>
      </c>
      <c r="V66" s="35">
        <v>214561</v>
      </c>
      <c r="W66" s="202">
        <v>178975</v>
      </c>
      <c r="X66" s="211">
        <v>64.5</v>
      </c>
      <c r="Y66" s="211">
        <v>0</v>
      </c>
      <c r="Z66" s="211">
        <v>0</v>
      </c>
      <c r="AA66" s="211">
        <v>0</v>
      </c>
      <c r="AB66" s="210">
        <v>64.5</v>
      </c>
      <c r="AC66" s="32">
        <v>0.95202952029520294</v>
      </c>
      <c r="AD66" s="34">
        <v>997809</v>
      </c>
      <c r="AE66" s="34">
        <v>103417</v>
      </c>
      <c r="AF66" s="34">
        <v>1551618</v>
      </c>
      <c r="AG66" s="34">
        <v>0</v>
      </c>
      <c r="AH66" s="9">
        <v>2652844</v>
      </c>
      <c r="AI66" s="210">
        <v>5305688</v>
      </c>
      <c r="AJ66" s="9">
        <v>2652844</v>
      </c>
      <c r="AK66" s="212">
        <v>65</v>
      </c>
      <c r="AL66" s="212">
        <v>0</v>
      </c>
      <c r="AM66" s="212">
        <v>67.75</v>
      </c>
      <c r="AN66" s="32">
        <v>0.95940959409594095</v>
      </c>
      <c r="AO66" s="210">
        <v>39444</v>
      </c>
      <c r="AP66" s="210">
        <v>0</v>
      </c>
      <c r="AQ66" s="210">
        <v>78888</v>
      </c>
      <c r="AR66" s="154">
        <v>39444</v>
      </c>
      <c r="AS66" s="210">
        <v>4.75</v>
      </c>
      <c r="AT66" s="87">
        <v>0</v>
      </c>
      <c r="AU66" s="210">
        <v>1998</v>
      </c>
      <c r="AV66" s="87">
        <v>999</v>
      </c>
      <c r="AW66" s="136">
        <v>0.25</v>
      </c>
      <c r="AX66" s="210">
        <v>0</v>
      </c>
      <c r="AY66" s="210">
        <v>0</v>
      </c>
      <c r="AZ66" s="210">
        <v>0</v>
      </c>
      <c r="BA66" s="210">
        <v>0</v>
      </c>
      <c r="BB66" s="22">
        <v>0</v>
      </c>
      <c r="BC66" s="210">
        <v>40046</v>
      </c>
      <c r="BD66" s="7">
        <v>53394.666666666664</v>
      </c>
      <c r="BE66" s="18">
        <v>40046</v>
      </c>
      <c r="BF66" s="34">
        <v>0</v>
      </c>
      <c r="BG66" s="34">
        <v>0</v>
      </c>
      <c r="BH66" s="210">
        <v>0</v>
      </c>
      <c r="BI66" s="22">
        <v>0</v>
      </c>
      <c r="BJ66" s="210">
        <v>5654510</v>
      </c>
      <c r="BK66" s="18">
        <v>2912308</v>
      </c>
      <c r="BL66" s="136">
        <v>69.75</v>
      </c>
    </row>
    <row r="67" spans="1:64" s="4" customFormat="1" ht="26.65" customHeight="1" x14ac:dyDescent="0.2">
      <c r="A67" s="218" t="s">
        <v>103</v>
      </c>
      <c r="B67" s="65">
        <v>48066</v>
      </c>
      <c r="C67" s="66">
        <v>40027</v>
      </c>
      <c r="D67" s="21">
        <v>10030</v>
      </c>
      <c r="E67" s="210">
        <v>8359</v>
      </c>
      <c r="F67" s="66">
        <v>230104</v>
      </c>
      <c r="G67" s="67">
        <v>192512</v>
      </c>
      <c r="H67" s="21">
        <v>0</v>
      </c>
      <c r="I67" s="18">
        <v>0</v>
      </c>
      <c r="J67" s="210">
        <v>0</v>
      </c>
      <c r="K67" s="170">
        <v>0</v>
      </c>
      <c r="L67" s="177">
        <v>0</v>
      </c>
      <c r="M67" s="66">
        <v>288200</v>
      </c>
      <c r="N67" s="66">
        <v>240898</v>
      </c>
      <c r="O67" s="67">
        <v>240898</v>
      </c>
      <c r="P67" s="210">
        <v>0</v>
      </c>
      <c r="Q67" s="18">
        <v>0</v>
      </c>
      <c r="R67" s="210">
        <v>0</v>
      </c>
      <c r="S67" s="170">
        <v>0</v>
      </c>
      <c r="T67" s="211">
        <v>0</v>
      </c>
      <c r="U67" s="211">
        <v>0</v>
      </c>
      <c r="V67" s="35">
        <v>288200</v>
      </c>
      <c r="W67" s="202">
        <v>240898</v>
      </c>
      <c r="X67" s="211">
        <v>5</v>
      </c>
      <c r="Y67" s="211">
        <v>1</v>
      </c>
      <c r="Z67" s="211">
        <v>1.25</v>
      </c>
      <c r="AA67" s="211">
        <v>0</v>
      </c>
      <c r="AB67" s="210">
        <v>7.25</v>
      </c>
      <c r="AC67" s="32">
        <v>0.50877192982456143</v>
      </c>
      <c r="AD67" s="34">
        <v>41316</v>
      </c>
      <c r="AE67" s="34">
        <v>0</v>
      </c>
      <c r="AF67" s="34">
        <v>27611</v>
      </c>
      <c r="AG67" s="34">
        <v>12962</v>
      </c>
      <c r="AH67" s="9">
        <v>81889</v>
      </c>
      <c r="AI67" s="210">
        <v>163778</v>
      </c>
      <c r="AJ67" s="9">
        <v>81889</v>
      </c>
      <c r="AK67" s="212">
        <v>13</v>
      </c>
      <c r="AL67" s="212">
        <v>13.25</v>
      </c>
      <c r="AM67" s="212">
        <v>14.25</v>
      </c>
      <c r="AN67" s="32">
        <v>0.91228070175438591</v>
      </c>
      <c r="AO67" s="210">
        <v>0</v>
      </c>
      <c r="AP67" s="210">
        <v>0</v>
      </c>
      <c r="AQ67" s="210">
        <v>0</v>
      </c>
      <c r="AR67" s="154">
        <v>0</v>
      </c>
      <c r="AS67" s="210">
        <v>0</v>
      </c>
      <c r="AT67" s="87">
        <v>0</v>
      </c>
      <c r="AU67" s="210">
        <v>0</v>
      </c>
      <c r="AV67" s="87">
        <v>0</v>
      </c>
      <c r="AW67" s="136">
        <v>0</v>
      </c>
      <c r="AX67" s="210">
        <v>600</v>
      </c>
      <c r="AY67" s="210">
        <v>0</v>
      </c>
      <c r="AZ67" s="210">
        <v>0</v>
      </c>
      <c r="BA67" s="210">
        <v>1200</v>
      </c>
      <c r="BB67" s="22">
        <v>600</v>
      </c>
      <c r="BC67" s="210">
        <v>0</v>
      </c>
      <c r="BD67" s="7">
        <v>0</v>
      </c>
      <c r="BE67" s="18">
        <v>0</v>
      </c>
      <c r="BF67" s="34">
        <v>0</v>
      </c>
      <c r="BG67" s="34">
        <v>0</v>
      </c>
      <c r="BH67" s="210">
        <v>0</v>
      </c>
      <c r="BI67" s="22">
        <v>0</v>
      </c>
      <c r="BJ67" s="210">
        <v>453176</v>
      </c>
      <c r="BK67" s="18">
        <v>323389</v>
      </c>
      <c r="BL67" s="136">
        <v>13</v>
      </c>
    </row>
    <row r="68" spans="1:64" s="4" customFormat="1" ht="24.75" customHeight="1" x14ac:dyDescent="0.2">
      <c r="A68" s="219" t="s">
        <v>41</v>
      </c>
      <c r="B68" s="65">
        <v>0</v>
      </c>
      <c r="C68" s="66">
        <v>0</v>
      </c>
      <c r="D68" s="21">
        <v>0</v>
      </c>
      <c r="E68" s="210">
        <v>0</v>
      </c>
      <c r="F68" s="36">
        <v>0</v>
      </c>
      <c r="G68" s="193">
        <v>0</v>
      </c>
      <c r="H68" s="21">
        <v>0</v>
      </c>
      <c r="I68" s="18">
        <v>0</v>
      </c>
      <c r="J68" s="210">
        <v>0</v>
      </c>
      <c r="K68" s="170">
        <v>0</v>
      </c>
      <c r="L68" s="177">
        <v>0</v>
      </c>
      <c r="M68" s="66">
        <v>0</v>
      </c>
      <c r="N68" s="66">
        <v>0</v>
      </c>
      <c r="O68" s="67">
        <v>0</v>
      </c>
      <c r="P68" s="210">
        <v>0</v>
      </c>
      <c r="Q68" s="18">
        <v>0</v>
      </c>
      <c r="R68" s="210">
        <v>0</v>
      </c>
      <c r="S68" s="170">
        <v>0</v>
      </c>
      <c r="T68" s="211">
        <v>0</v>
      </c>
      <c r="U68" s="211">
        <v>0</v>
      </c>
      <c r="V68" s="35">
        <v>0</v>
      </c>
      <c r="W68" s="202">
        <v>0</v>
      </c>
      <c r="X68" s="211">
        <v>0</v>
      </c>
      <c r="Y68" s="211">
        <v>0</v>
      </c>
      <c r="Z68" s="211">
        <v>0</v>
      </c>
      <c r="AA68" s="211">
        <v>0</v>
      </c>
      <c r="AB68" s="210">
        <v>0</v>
      </c>
      <c r="AC68" s="32">
        <v>0</v>
      </c>
      <c r="AD68" s="34">
        <v>0</v>
      </c>
      <c r="AE68" s="34">
        <v>0</v>
      </c>
      <c r="AF68" s="34">
        <v>0</v>
      </c>
      <c r="AG68" s="34">
        <v>0</v>
      </c>
      <c r="AH68" s="9">
        <v>0</v>
      </c>
      <c r="AI68" s="210">
        <v>0</v>
      </c>
      <c r="AJ68" s="9">
        <v>0</v>
      </c>
      <c r="AK68" s="212">
        <v>0</v>
      </c>
      <c r="AL68" s="212">
        <v>0</v>
      </c>
      <c r="AM68" s="212">
        <v>0</v>
      </c>
      <c r="AN68" s="32">
        <v>0</v>
      </c>
      <c r="AO68" s="210">
        <v>0</v>
      </c>
      <c r="AP68" s="210">
        <v>0</v>
      </c>
      <c r="AQ68" s="210">
        <v>0</v>
      </c>
      <c r="AR68" s="154">
        <v>0</v>
      </c>
      <c r="AS68" s="210">
        <v>0</v>
      </c>
      <c r="AT68" s="87">
        <v>0</v>
      </c>
      <c r="AU68" s="210">
        <v>0</v>
      </c>
      <c r="AV68" s="87">
        <v>0</v>
      </c>
      <c r="AW68" s="136">
        <v>0</v>
      </c>
      <c r="AX68" s="210">
        <v>0</v>
      </c>
      <c r="AY68" s="210">
        <v>0</v>
      </c>
      <c r="AZ68" s="210">
        <v>0</v>
      </c>
      <c r="BA68" s="210">
        <v>0</v>
      </c>
      <c r="BB68" s="22">
        <v>0</v>
      </c>
      <c r="BC68" s="210">
        <v>0</v>
      </c>
      <c r="BD68" s="7">
        <v>0</v>
      </c>
      <c r="BE68" s="18">
        <v>0</v>
      </c>
      <c r="BF68" s="34">
        <v>0</v>
      </c>
      <c r="BG68" s="34">
        <v>0</v>
      </c>
      <c r="BH68" s="210">
        <v>0</v>
      </c>
      <c r="BI68" s="22">
        <v>0</v>
      </c>
      <c r="BJ68" s="210">
        <v>0</v>
      </c>
      <c r="BK68" s="18">
        <v>0</v>
      </c>
      <c r="BL68" s="136">
        <v>0</v>
      </c>
    </row>
    <row r="69" spans="1:64" s="4" customFormat="1" ht="24.6" customHeight="1" x14ac:dyDescent="0.2">
      <c r="A69" s="218" t="s">
        <v>33</v>
      </c>
      <c r="B69" s="65">
        <v>48496</v>
      </c>
      <c r="C69" s="66">
        <v>40360</v>
      </c>
      <c r="D69" s="21">
        <v>0</v>
      </c>
      <c r="E69" s="210">
        <v>0</v>
      </c>
      <c r="F69" s="36">
        <v>0</v>
      </c>
      <c r="G69" s="193">
        <v>0</v>
      </c>
      <c r="H69" s="21">
        <v>0</v>
      </c>
      <c r="I69" s="18">
        <v>0</v>
      </c>
      <c r="J69" s="210">
        <v>0</v>
      </c>
      <c r="K69" s="170">
        <v>0</v>
      </c>
      <c r="L69" s="177">
        <v>0</v>
      </c>
      <c r="M69" s="66">
        <v>48496</v>
      </c>
      <c r="N69" s="66">
        <v>40360</v>
      </c>
      <c r="O69" s="67">
        <v>40360</v>
      </c>
      <c r="P69" s="210">
        <v>0</v>
      </c>
      <c r="Q69" s="18">
        <v>0</v>
      </c>
      <c r="R69" s="210">
        <v>0</v>
      </c>
      <c r="S69" s="170">
        <v>0</v>
      </c>
      <c r="T69" s="211">
        <v>0</v>
      </c>
      <c r="U69" s="211">
        <v>0</v>
      </c>
      <c r="V69" s="35">
        <v>48496</v>
      </c>
      <c r="W69" s="202">
        <v>40360</v>
      </c>
      <c r="X69" s="211">
        <v>4.5</v>
      </c>
      <c r="Y69" s="211">
        <v>0</v>
      </c>
      <c r="Z69" s="211">
        <v>0</v>
      </c>
      <c r="AA69" s="211">
        <v>0</v>
      </c>
      <c r="AB69" s="210">
        <v>4.5</v>
      </c>
      <c r="AC69" s="32">
        <v>0.8571428571428571</v>
      </c>
      <c r="AD69" s="34">
        <v>32915</v>
      </c>
      <c r="AE69" s="34">
        <v>5846</v>
      </c>
      <c r="AF69" s="34">
        <v>9676</v>
      </c>
      <c r="AG69" s="34">
        <v>1167</v>
      </c>
      <c r="AH69" s="9">
        <v>49604</v>
      </c>
      <c r="AI69" s="210">
        <v>99208</v>
      </c>
      <c r="AJ69" s="9">
        <v>49604</v>
      </c>
      <c r="AK69" s="212">
        <v>5</v>
      </c>
      <c r="AL69" s="212">
        <v>1</v>
      </c>
      <c r="AM69" s="212">
        <v>5.25</v>
      </c>
      <c r="AN69" s="32">
        <v>0.95238095238095233</v>
      </c>
      <c r="AO69" s="210">
        <v>41857</v>
      </c>
      <c r="AP69" s="210">
        <v>2465</v>
      </c>
      <c r="AQ69" s="210">
        <v>88644</v>
      </c>
      <c r="AR69" s="154">
        <v>44322</v>
      </c>
      <c r="AS69" s="210">
        <v>14</v>
      </c>
      <c r="AT69" s="87">
        <v>1.75</v>
      </c>
      <c r="AU69" s="210">
        <v>0</v>
      </c>
      <c r="AV69" s="87">
        <v>0</v>
      </c>
      <c r="AW69" s="136">
        <v>0</v>
      </c>
      <c r="AX69" s="210">
        <v>20216</v>
      </c>
      <c r="AY69" s="210">
        <v>0</v>
      </c>
      <c r="AZ69" s="210">
        <v>0</v>
      </c>
      <c r="BA69" s="210">
        <v>40432</v>
      </c>
      <c r="BB69" s="22">
        <v>20216</v>
      </c>
      <c r="BC69" s="210">
        <v>8076</v>
      </c>
      <c r="BD69" s="7">
        <v>10768</v>
      </c>
      <c r="BE69" s="18">
        <v>8076</v>
      </c>
      <c r="BF69" s="34">
        <v>0</v>
      </c>
      <c r="BG69" s="34">
        <v>0</v>
      </c>
      <c r="BH69" s="210">
        <v>0</v>
      </c>
      <c r="BI69" s="22">
        <v>0</v>
      </c>
      <c r="BJ69" s="210">
        <v>287534</v>
      </c>
      <c r="BK69" s="18">
        <v>162578</v>
      </c>
      <c r="BL69" s="136">
        <v>19</v>
      </c>
    </row>
    <row r="70" spans="1:64" s="4" customFormat="1" ht="23.1" customHeight="1" x14ac:dyDescent="0.2">
      <c r="A70" s="218" t="s">
        <v>27</v>
      </c>
      <c r="B70" s="65">
        <v>0</v>
      </c>
      <c r="C70" s="66">
        <v>0</v>
      </c>
      <c r="D70" s="21">
        <v>0</v>
      </c>
      <c r="E70" s="210">
        <v>0</v>
      </c>
      <c r="F70" s="36">
        <v>0</v>
      </c>
      <c r="G70" s="193">
        <v>0</v>
      </c>
      <c r="H70" s="21">
        <v>0</v>
      </c>
      <c r="I70" s="18">
        <v>0</v>
      </c>
      <c r="J70" s="210">
        <v>0</v>
      </c>
      <c r="K70" s="170">
        <v>0</v>
      </c>
      <c r="L70" s="177">
        <v>0</v>
      </c>
      <c r="M70" s="66">
        <v>0</v>
      </c>
      <c r="N70" s="66">
        <v>0</v>
      </c>
      <c r="O70" s="67">
        <v>0</v>
      </c>
      <c r="P70" s="210">
        <v>0</v>
      </c>
      <c r="Q70" s="18">
        <v>0</v>
      </c>
      <c r="R70" s="210">
        <v>0</v>
      </c>
      <c r="S70" s="170">
        <v>0</v>
      </c>
      <c r="T70" s="211">
        <v>0</v>
      </c>
      <c r="U70" s="211">
        <v>0</v>
      </c>
      <c r="V70" s="35">
        <v>0</v>
      </c>
      <c r="W70" s="202">
        <v>0</v>
      </c>
      <c r="X70" s="211">
        <v>0</v>
      </c>
      <c r="Y70" s="211">
        <v>0</v>
      </c>
      <c r="Z70" s="211">
        <v>0</v>
      </c>
      <c r="AA70" s="211">
        <v>0</v>
      </c>
      <c r="AB70" s="210">
        <v>0</v>
      </c>
      <c r="AC70" s="32">
        <v>0</v>
      </c>
      <c r="AD70" s="34">
        <v>0</v>
      </c>
      <c r="AE70" s="34">
        <v>0</v>
      </c>
      <c r="AF70" s="34">
        <v>0</v>
      </c>
      <c r="AG70" s="34">
        <v>0</v>
      </c>
      <c r="AH70" s="9">
        <v>0</v>
      </c>
      <c r="AI70" s="210">
        <v>0</v>
      </c>
      <c r="AJ70" s="9">
        <v>0</v>
      </c>
      <c r="AK70" s="212">
        <v>0</v>
      </c>
      <c r="AL70" s="212">
        <v>0</v>
      </c>
      <c r="AM70" s="212">
        <v>0</v>
      </c>
      <c r="AN70" s="32">
        <v>0</v>
      </c>
      <c r="AO70" s="210">
        <v>0</v>
      </c>
      <c r="AP70" s="210">
        <v>0</v>
      </c>
      <c r="AQ70" s="210">
        <v>0</v>
      </c>
      <c r="AR70" s="154">
        <v>0</v>
      </c>
      <c r="AS70" s="210">
        <v>0</v>
      </c>
      <c r="AT70" s="87">
        <v>0</v>
      </c>
      <c r="AU70" s="210">
        <v>0</v>
      </c>
      <c r="AV70" s="87">
        <v>0</v>
      </c>
      <c r="AW70" s="136">
        <v>0</v>
      </c>
      <c r="AX70" s="210">
        <v>0</v>
      </c>
      <c r="AY70" s="210">
        <v>0</v>
      </c>
      <c r="AZ70" s="210">
        <v>0</v>
      </c>
      <c r="BA70" s="210">
        <v>0</v>
      </c>
      <c r="BB70" s="22">
        <v>0</v>
      </c>
      <c r="BC70" s="210">
        <v>0</v>
      </c>
      <c r="BD70" s="7">
        <v>0</v>
      </c>
      <c r="BE70" s="18">
        <v>0</v>
      </c>
      <c r="BF70" s="34">
        <v>0</v>
      </c>
      <c r="BG70" s="34">
        <v>0</v>
      </c>
      <c r="BH70" s="210">
        <v>0</v>
      </c>
      <c r="BI70" s="22">
        <v>0</v>
      </c>
      <c r="BJ70" s="210">
        <v>0</v>
      </c>
      <c r="BK70" s="18">
        <v>0</v>
      </c>
      <c r="BL70" s="136">
        <v>0</v>
      </c>
    </row>
    <row r="71" spans="1:64" s="4" customFormat="1" ht="24" customHeight="1" x14ac:dyDescent="0.2">
      <c r="A71" s="219" t="s">
        <v>30</v>
      </c>
      <c r="B71" s="65">
        <v>522824</v>
      </c>
      <c r="C71" s="66">
        <v>435257</v>
      </c>
      <c r="D71" s="21">
        <v>145537</v>
      </c>
      <c r="E71" s="210">
        <v>120795</v>
      </c>
      <c r="F71" s="36">
        <v>0</v>
      </c>
      <c r="G71" s="193">
        <v>0</v>
      </c>
      <c r="H71" s="21">
        <v>0</v>
      </c>
      <c r="I71" s="18">
        <v>0</v>
      </c>
      <c r="J71" s="210">
        <v>0</v>
      </c>
      <c r="K71" s="170">
        <v>0</v>
      </c>
      <c r="L71" s="177">
        <v>0</v>
      </c>
      <c r="M71" s="66">
        <v>668361</v>
      </c>
      <c r="N71" s="66">
        <v>556052</v>
      </c>
      <c r="O71" s="67">
        <v>556052</v>
      </c>
      <c r="P71" s="210">
        <v>0</v>
      </c>
      <c r="Q71" s="18">
        <v>0</v>
      </c>
      <c r="R71" s="210">
        <v>0</v>
      </c>
      <c r="S71" s="170">
        <v>0</v>
      </c>
      <c r="T71" s="211">
        <v>0</v>
      </c>
      <c r="U71" s="211">
        <v>0</v>
      </c>
      <c r="V71" s="35">
        <v>668361</v>
      </c>
      <c r="W71" s="202">
        <v>556052</v>
      </c>
      <c r="X71" s="211">
        <v>86.75</v>
      </c>
      <c r="Y71" s="211">
        <v>3.25</v>
      </c>
      <c r="Z71" s="211">
        <v>0.75</v>
      </c>
      <c r="AA71" s="211">
        <v>0</v>
      </c>
      <c r="AB71" s="210">
        <v>90.75</v>
      </c>
      <c r="AC71" s="32">
        <v>0.89408866995073888</v>
      </c>
      <c r="AD71" s="34">
        <v>420821</v>
      </c>
      <c r="AE71" s="34">
        <v>57037</v>
      </c>
      <c r="AF71" s="34">
        <v>0</v>
      </c>
      <c r="AG71" s="34">
        <v>30866</v>
      </c>
      <c r="AH71" s="9">
        <v>508724</v>
      </c>
      <c r="AI71" s="210">
        <v>1017448</v>
      </c>
      <c r="AJ71" s="9">
        <v>508724</v>
      </c>
      <c r="AK71" s="212">
        <v>91</v>
      </c>
      <c r="AL71" s="212">
        <v>90.75</v>
      </c>
      <c r="AM71" s="212">
        <v>101.5</v>
      </c>
      <c r="AN71" s="32">
        <v>0.89655172413793105</v>
      </c>
      <c r="AO71" s="210">
        <v>6883</v>
      </c>
      <c r="AP71" s="210">
        <v>0</v>
      </c>
      <c r="AQ71" s="210">
        <v>13766</v>
      </c>
      <c r="AR71" s="154">
        <v>6883</v>
      </c>
      <c r="AS71" s="210">
        <v>184.25</v>
      </c>
      <c r="AT71" s="87">
        <v>94.5</v>
      </c>
      <c r="AU71" s="210">
        <v>0</v>
      </c>
      <c r="AV71" s="87">
        <v>0</v>
      </c>
      <c r="AW71" s="136">
        <v>0</v>
      </c>
      <c r="AX71" s="210">
        <v>0</v>
      </c>
      <c r="AY71" s="210">
        <v>0</v>
      </c>
      <c r="AZ71" s="210">
        <v>0</v>
      </c>
      <c r="BA71" s="210">
        <v>0</v>
      </c>
      <c r="BB71" s="22">
        <v>0</v>
      </c>
      <c r="BC71" s="210">
        <v>18925</v>
      </c>
      <c r="BD71" s="7">
        <v>25233.333333333332</v>
      </c>
      <c r="BE71" s="18">
        <v>18925</v>
      </c>
      <c r="BF71" s="34">
        <v>0</v>
      </c>
      <c r="BG71" s="34">
        <v>0</v>
      </c>
      <c r="BH71" s="210">
        <v>0</v>
      </c>
      <c r="BI71" s="22">
        <v>0</v>
      </c>
      <c r="BJ71" s="210">
        <v>1724799</v>
      </c>
      <c r="BK71" s="18">
        <v>1090584</v>
      </c>
      <c r="BL71" s="136">
        <v>275.25</v>
      </c>
    </row>
    <row r="72" spans="1:64" s="4" customFormat="1" ht="23.85" customHeight="1" x14ac:dyDescent="0.2">
      <c r="A72" s="219" t="s">
        <v>32</v>
      </c>
      <c r="B72" s="65">
        <v>1411972</v>
      </c>
      <c r="C72" s="66">
        <v>1178750</v>
      </c>
      <c r="D72" s="21">
        <v>0</v>
      </c>
      <c r="E72" s="210">
        <v>0</v>
      </c>
      <c r="F72" s="36">
        <v>0</v>
      </c>
      <c r="G72" s="193">
        <v>0</v>
      </c>
      <c r="H72" s="21">
        <v>0</v>
      </c>
      <c r="I72" s="18">
        <v>0</v>
      </c>
      <c r="J72" s="210">
        <v>0</v>
      </c>
      <c r="K72" s="170">
        <v>0</v>
      </c>
      <c r="L72" s="177">
        <v>0</v>
      </c>
      <c r="M72" s="66">
        <v>1411972</v>
      </c>
      <c r="N72" s="66">
        <v>1178750</v>
      </c>
      <c r="O72" s="67">
        <v>1178750</v>
      </c>
      <c r="P72" s="210">
        <v>0</v>
      </c>
      <c r="Q72" s="18">
        <v>0</v>
      </c>
      <c r="R72" s="210">
        <v>0</v>
      </c>
      <c r="S72" s="170">
        <v>0</v>
      </c>
      <c r="T72" s="211">
        <v>0</v>
      </c>
      <c r="U72" s="211">
        <v>0</v>
      </c>
      <c r="V72" s="35">
        <v>1411972</v>
      </c>
      <c r="W72" s="202">
        <v>1178750</v>
      </c>
      <c r="X72" s="211">
        <v>79.75</v>
      </c>
      <c r="Y72" s="211">
        <v>0</v>
      </c>
      <c r="Z72" s="211">
        <v>0</v>
      </c>
      <c r="AA72" s="211">
        <v>0</v>
      </c>
      <c r="AB72" s="210">
        <v>79.75</v>
      </c>
      <c r="AC72" s="32">
        <v>1</v>
      </c>
      <c r="AD72" s="34">
        <v>1029373</v>
      </c>
      <c r="AE72" s="34">
        <v>301119</v>
      </c>
      <c r="AF72" s="34">
        <v>166739</v>
      </c>
      <c r="AG72" s="34">
        <v>0</v>
      </c>
      <c r="AH72" s="9">
        <v>1497231</v>
      </c>
      <c r="AI72" s="210">
        <v>2994462</v>
      </c>
      <c r="AJ72" s="9">
        <v>1497231</v>
      </c>
      <c r="AK72" s="212">
        <v>80</v>
      </c>
      <c r="AL72" s="212">
        <v>0</v>
      </c>
      <c r="AM72" s="212">
        <v>79.75</v>
      </c>
      <c r="AN72" s="32">
        <v>1.0031347962382444</v>
      </c>
      <c r="AO72" s="210">
        <v>0</v>
      </c>
      <c r="AP72" s="210">
        <v>0</v>
      </c>
      <c r="AQ72" s="210">
        <v>0</v>
      </c>
      <c r="AR72" s="220">
        <v>0</v>
      </c>
      <c r="AS72" s="158">
        <v>0</v>
      </c>
      <c r="AT72" s="87">
        <v>0</v>
      </c>
      <c r="AU72" s="210">
        <v>0</v>
      </c>
      <c r="AV72" s="87">
        <v>0</v>
      </c>
      <c r="AW72" s="136">
        <v>0</v>
      </c>
      <c r="AX72" s="210">
        <v>0</v>
      </c>
      <c r="AY72" s="210">
        <v>0</v>
      </c>
      <c r="AZ72" s="210">
        <v>0</v>
      </c>
      <c r="BA72" s="210">
        <v>0</v>
      </c>
      <c r="BB72" s="22">
        <v>0</v>
      </c>
      <c r="BC72" s="210">
        <v>39917</v>
      </c>
      <c r="BD72" s="7">
        <v>53222.666666666664</v>
      </c>
      <c r="BE72" s="18">
        <v>39917</v>
      </c>
      <c r="BF72" s="34">
        <v>0</v>
      </c>
      <c r="BG72" s="34">
        <v>0</v>
      </c>
      <c r="BH72" s="210">
        <v>0</v>
      </c>
      <c r="BI72" s="212">
        <v>0</v>
      </c>
      <c r="BJ72" s="140">
        <v>4459657</v>
      </c>
      <c r="BK72" s="18">
        <v>2715898</v>
      </c>
      <c r="BL72" s="136">
        <v>80</v>
      </c>
    </row>
    <row r="73" spans="1:64" s="4" customFormat="1" ht="23.85" customHeight="1" x14ac:dyDescent="0.2">
      <c r="A73" s="219" t="s">
        <v>115</v>
      </c>
      <c r="B73" s="65">
        <v>11346</v>
      </c>
      <c r="C73" s="210">
        <v>0</v>
      </c>
      <c r="D73" s="21">
        <v>0</v>
      </c>
      <c r="E73" s="210">
        <v>0</v>
      </c>
      <c r="F73" s="210">
        <v>0</v>
      </c>
      <c r="G73" s="18">
        <v>0</v>
      </c>
      <c r="H73" s="21">
        <v>0</v>
      </c>
      <c r="I73" s="18">
        <v>0</v>
      </c>
      <c r="J73" s="210">
        <v>0</v>
      </c>
      <c r="K73" s="210">
        <v>0</v>
      </c>
      <c r="L73" s="177">
        <v>0</v>
      </c>
      <c r="M73" s="66">
        <v>11346</v>
      </c>
      <c r="N73" s="66">
        <v>0</v>
      </c>
      <c r="O73" s="67">
        <v>0</v>
      </c>
      <c r="P73" s="210">
        <v>0</v>
      </c>
      <c r="Q73" s="18">
        <v>0</v>
      </c>
      <c r="R73" s="210">
        <v>0</v>
      </c>
      <c r="S73" s="170">
        <v>0</v>
      </c>
      <c r="T73" s="211">
        <v>0</v>
      </c>
      <c r="U73" s="211">
        <v>0</v>
      </c>
      <c r="V73" s="35">
        <v>11346</v>
      </c>
      <c r="W73" s="202">
        <v>0</v>
      </c>
      <c r="X73" s="211">
        <v>1</v>
      </c>
      <c r="Y73" s="211">
        <v>0</v>
      </c>
      <c r="Z73" s="211">
        <v>0</v>
      </c>
      <c r="AA73" s="211">
        <v>0</v>
      </c>
      <c r="AB73" s="210">
        <v>1</v>
      </c>
      <c r="AC73" s="32">
        <v>0.33333333333333331</v>
      </c>
      <c r="AD73" s="34">
        <v>1647</v>
      </c>
      <c r="AE73" s="34">
        <v>37</v>
      </c>
      <c r="AF73" s="34">
        <v>590</v>
      </c>
      <c r="AG73" s="34">
        <v>0</v>
      </c>
      <c r="AH73" s="9">
        <v>2274</v>
      </c>
      <c r="AI73" s="210">
        <v>4548</v>
      </c>
      <c r="AJ73" s="9">
        <v>2274</v>
      </c>
      <c r="AK73" s="212">
        <v>2</v>
      </c>
      <c r="AL73" s="212">
        <v>0</v>
      </c>
      <c r="AM73" s="212">
        <v>3</v>
      </c>
      <c r="AN73" s="32">
        <v>0.66666666666666663</v>
      </c>
      <c r="AO73" s="210">
        <v>0</v>
      </c>
      <c r="AP73" s="210">
        <v>0</v>
      </c>
      <c r="AQ73" s="210">
        <v>0</v>
      </c>
      <c r="AR73" s="220">
        <v>0</v>
      </c>
      <c r="AS73" s="158">
        <v>0</v>
      </c>
      <c r="AT73" s="87">
        <v>0</v>
      </c>
      <c r="AU73" s="210">
        <v>0</v>
      </c>
      <c r="AV73" s="87">
        <v>0</v>
      </c>
      <c r="AW73" s="136">
        <v>0</v>
      </c>
      <c r="AX73" s="210">
        <v>0</v>
      </c>
      <c r="AY73" s="210">
        <v>0</v>
      </c>
      <c r="AZ73" s="210">
        <v>0</v>
      </c>
      <c r="BA73" s="210">
        <v>0</v>
      </c>
      <c r="BB73" s="22">
        <v>0</v>
      </c>
      <c r="BC73" s="210">
        <v>41</v>
      </c>
      <c r="BD73" s="7">
        <v>54.666666666666664</v>
      </c>
      <c r="BE73" s="18">
        <v>41</v>
      </c>
      <c r="BF73" s="34">
        <v>0</v>
      </c>
      <c r="BG73" s="34">
        <v>0</v>
      </c>
      <c r="BH73" s="210">
        <v>0</v>
      </c>
      <c r="BI73" s="212">
        <v>0</v>
      </c>
      <c r="BJ73" s="140">
        <v>15947</v>
      </c>
      <c r="BK73" s="18">
        <v>2315</v>
      </c>
      <c r="BL73" s="136">
        <v>2</v>
      </c>
    </row>
    <row r="74" spans="1:64" s="4" customFormat="1" ht="23.85" customHeight="1" x14ac:dyDescent="0.2">
      <c r="A74" s="219" t="s">
        <v>148</v>
      </c>
      <c r="B74" s="65">
        <v>234484</v>
      </c>
      <c r="C74" s="66">
        <v>188195</v>
      </c>
      <c r="D74" s="21">
        <v>0</v>
      </c>
      <c r="E74" s="210">
        <v>0</v>
      </c>
      <c r="F74" s="36">
        <v>0</v>
      </c>
      <c r="G74" s="193">
        <v>0</v>
      </c>
      <c r="H74" s="21">
        <v>0</v>
      </c>
      <c r="I74" s="18">
        <v>0</v>
      </c>
      <c r="J74" s="210">
        <v>0</v>
      </c>
      <c r="K74" s="170">
        <v>0</v>
      </c>
      <c r="L74" s="177">
        <v>0</v>
      </c>
      <c r="M74" s="66">
        <v>234484</v>
      </c>
      <c r="N74" s="66">
        <v>188195</v>
      </c>
      <c r="O74" s="67">
        <v>188195</v>
      </c>
      <c r="P74" s="210">
        <v>0</v>
      </c>
      <c r="Q74" s="18">
        <v>0</v>
      </c>
      <c r="R74" s="210">
        <v>0</v>
      </c>
      <c r="S74" s="170">
        <v>0</v>
      </c>
      <c r="T74" s="211">
        <v>0</v>
      </c>
      <c r="U74" s="211">
        <v>0</v>
      </c>
      <c r="V74" s="35">
        <v>234484</v>
      </c>
      <c r="W74" s="202">
        <v>188195</v>
      </c>
      <c r="X74" s="211">
        <v>14</v>
      </c>
      <c r="Y74" s="211">
        <v>0</v>
      </c>
      <c r="Z74" s="211">
        <v>0</v>
      </c>
      <c r="AA74" s="211">
        <v>0</v>
      </c>
      <c r="AB74" s="210">
        <v>14</v>
      </c>
      <c r="AC74" s="32">
        <v>0.50909090909090904</v>
      </c>
      <c r="AD74" s="34">
        <v>159750</v>
      </c>
      <c r="AE74" s="34">
        <v>14342</v>
      </c>
      <c r="AF74" s="34">
        <v>34129</v>
      </c>
      <c r="AG74" s="34">
        <v>0</v>
      </c>
      <c r="AH74" s="9">
        <v>208221</v>
      </c>
      <c r="AI74" s="210">
        <v>416442</v>
      </c>
      <c r="AJ74" s="9">
        <v>208221</v>
      </c>
      <c r="AK74" s="212">
        <v>14</v>
      </c>
      <c r="AL74" s="212">
        <v>0</v>
      </c>
      <c r="AM74" s="212">
        <v>27.5</v>
      </c>
      <c r="AN74" s="32">
        <v>0.50909090909090904</v>
      </c>
      <c r="AO74" s="210">
        <v>4474</v>
      </c>
      <c r="AP74" s="210">
        <v>0</v>
      </c>
      <c r="AQ74" s="210">
        <v>8948</v>
      </c>
      <c r="AR74" s="220">
        <v>4474</v>
      </c>
      <c r="AS74" s="158">
        <v>1.5</v>
      </c>
      <c r="AT74" s="87">
        <v>0</v>
      </c>
      <c r="AU74" s="210">
        <v>0</v>
      </c>
      <c r="AV74" s="87">
        <v>0</v>
      </c>
      <c r="AW74" s="136">
        <v>0</v>
      </c>
      <c r="AX74" s="210">
        <v>5070</v>
      </c>
      <c r="AY74" s="210">
        <v>0</v>
      </c>
      <c r="AZ74" s="210">
        <v>0</v>
      </c>
      <c r="BA74" s="210">
        <v>10140</v>
      </c>
      <c r="BB74" s="22">
        <v>5070</v>
      </c>
      <c r="BC74" s="210">
        <v>5665</v>
      </c>
      <c r="BD74" s="7">
        <v>7553.333333333333</v>
      </c>
      <c r="BE74" s="18">
        <v>5665</v>
      </c>
      <c r="BF74" s="34">
        <v>0</v>
      </c>
      <c r="BG74" s="34">
        <v>0</v>
      </c>
      <c r="BH74" s="210">
        <v>0</v>
      </c>
      <c r="BI74" s="212">
        <v>0</v>
      </c>
      <c r="BJ74" s="140">
        <v>677561</v>
      </c>
      <c r="BK74" s="18">
        <v>411625</v>
      </c>
      <c r="BL74" s="136">
        <v>15.5</v>
      </c>
    </row>
    <row r="75" spans="1:64" s="4" customFormat="1" ht="21.75" customHeight="1" thickBot="1" x14ac:dyDescent="0.25">
      <c r="A75" s="225" t="s">
        <v>28</v>
      </c>
      <c r="B75" s="194">
        <v>2766296</v>
      </c>
      <c r="C75" s="195">
        <v>2289806</v>
      </c>
      <c r="D75" s="194">
        <v>155567</v>
      </c>
      <c r="E75" s="195">
        <v>129154</v>
      </c>
      <c r="F75" s="195">
        <v>230104</v>
      </c>
      <c r="G75" s="196">
        <v>192512</v>
      </c>
      <c r="H75" s="188">
        <v>0</v>
      </c>
      <c r="I75" s="189">
        <v>0</v>
      </c>
      <c r="J75" s="197">
        <v>0</v>
      </c>
      <c r="K75" s="184">
        <v>0</v>
      </c>
      <c r="L75" s="232">
        <v>0</v>
      </c>
      <c r="M75" s="195">
        <v>3151967</v>
      </c>
      <c r="N75" s="195">
        <v>2611472</v>
      </c>
      <c r="O75" s="196">
        <v>2611472</v>
      </c>
      <c r="P75" s="197">
        <v>0</v>
      </c>
      <c r="Q75" s="189">
        <v>0</v>
      </c>
      <c r="R75" s="197">
        <v>0</v>
      </c>
      <c r="S75" s="184">
        <v>0</v>
      </c>
      <c r="T75" s="88">
        <v>0</v>
      </c>
      <c r="U75" s="89">
        <v>0</v>
      </c>
      <c r="V75" s="203">
        <v>3151967</v>
      </c>
      <c r="W75" s="204">
        <v>2611472</v>
      </c>
      <c r="X75" s="30">
        <v>305</v>
      </c>
      <c r="Y75" s="30">
        <v>4.25</v>
      </c>
      <c r="Z75" s="30">
        <v>2</v>
      </c>
      <c r="AA75" s="30">
        <v>0</v>
      </c>
      <c r="AB75" s="30">
        <v>311.25</v>
      </c>
      <c r="AC75" s="33">
        <v>0.76521204671173937</v>
      </c>
      <c r="AD75" s="13">
        <v>2949898</v>
      </c>
      <c r="AE75" s="13">
        <v>528142</v>
      </c>
      <c r="AF75" s="13">
        <v>1806149</v>
      </c>
      <c r="AG75" s="13">
        <v>44995</v>
      </c>
      <c r="AH75" s="13">
        <v>5329184</v>
      </c>
      <c r="AI75" s="13">
        <v>10658368</v>
      </c>
      <c r="AJ75" s="13">
        <v>5329184</v>
      </c>
      <c r="AK75" s="30">
        <v>346</v>
      </c>
      <c r="AL75" s="30">
        <v>105</v>
      </c>
      <c r="AM75" s="30">
        <v>406.75</v>
      </c>
      <c r="AN75" s="33">
        <v>0.85064535955746778</v>
      </c>
      <c r="AO75" s="13">
        <v>92690</v>
      </c>
      <c r="AP75" s="90">
        <v>2465</v>
      </c>
      <c r="AQ75" s="13">
        <v>190310</v>
      </c>
      <c r="AR75" s="13">
        <v>95155</v>
      </c>
      <c r="AS75" s="159">
        <v>207.25</v>
      </c>
      <c r="AT75" s="39">
        <v>96.25</v>
      </c>
      <c r="AU75" s="90">
        <v>1998</v>
      </c>
      <c r="AV75" s="90">
        <v>999</v>
      </c>
      <c r="AW75" s="93">
        <v>0.25</v>
      </c>
      <c r="AX75" s="31">
        <v>31871</v>
      </c>
      <c r="AY75" s="94">
        <v>0</v>
      </c>
      <c r="AZ75" s="37">
        <v>0</v>
      </c>
      <c r="BA75" s="37">
        <v>63742</v>
      </c>
      <c r="BB75" s="38">
        <v>31871</v>
      </c>
      <c r="BC75" s="37">
        <v>118895</v>
      </c>
      <c r="BD75" s="37">
        <v>158526.66666666666</v>
      </c>
      <c r="BE75" s="38">
        <v>118895</v>
      </c>
      <c r="BF75" s="37">
        <v>0</v>
      </c>
      <c r="BG75" s="37">
        <v>0</v>
      </c>
      <c r="BH75" s="37">
        <v>0</v>
      </c>
      <c r="BI75" s="37">
        <v>0</v>
      </c>
      <c r="BJ75" s="31">
        <v>14224854</v>
      </c>
      <c r="BK75" s="13">
        <v>8187578</v>
      </c>
      <c r="BL75" s="221">
        <v>553.25</v>
      </c>
    </row>
    <row r="76" spans="1:64" ht="22.35" customHeight="1" thickBot="1" x14ac:dyDescent="0.25">
      <c r="A76" s="134" t="s">
        <v>29</v>
      </c>
      <c r="B76" s="226">
        <v>2008034706</v>
      </c>
      <c r="C76" s="124">
        <v>1144623907</v>
      </c>
      <c r="D76" s="110">
        <v>294842449</v>
      </c>
      <c r="E76" s="97">
        <v>183215698</v>
      </c>
      <c r="F76" s="97">
        <v>29635667</v>
      </c>
      <c r="G76" s="124">
        <v>17396075</v>
      </c>
      <c r="H76" s="110">
        <v>401512</v>
      </c>
      <c r="I76" s="171">
        <v>244900</v>
      </c>
      <c r="J76" s="110">
        <v>-798940</v>
      </c>
      <c r="K76" s="171">
        <v>-508472</v>
      </c>
      <c r="L76" s="180">
        <v>22274284</v>
      </c>
      <c r="M76" s="110">
        <v>2332115394</v>
      </c>
      <c r="N76" s="97">
        <v>1344972108</v>
      </c>
      <c r="O76" s="124">
        <v>1322697824</v>
      </c>
      <c r="P76" s="198">
        <v>14618456</v>
      </c>
      <c r="Q76" s="199">
        <v>12161609</v>
      </c>
      <c r="R76" s="182">
        <v>438500</v>
      </c>
      <c r="S76" s="124">
        <v>365197</v>
      </c>
      <c r="T76" s="110">
        <v>15056956</v>
      </c>
      <c r="U76" s="120">
        <v>12526806</v>
      </c>
      <c r="V76" s="121">
        <v>2347172350</v>
      </c>
      <c r="W76" s="165">
        <v>1335224630</v>
      </c>
      <c r="X76" s="98">
        <v>104945.25</v>
      </c>
      <c r="Y76" s="98">
        <v>4962.25</v>
      </c>
      <c r="Z76" s="98">
        <v>2404.5</v>
      </c>
      <c r="AA76" s="98">
        <v>10</v>
      </c>
      <c r="AB76" s="98">
        <v>112322</v>
      </c>
      <c r="AC76" s="99">
        <v>0.3293695040998178</v>
      </c>
      <c r="AD76" s="100">
        <v>1238123094</v>
      </c>
      <c r="AE76" s="78">
        <v>198824473</v>
      </c>
      <c r="AF76" s="78">
        <v>969344307</v>
      </c>
      <c r="AG76" s="78">
        <v>146581436</v>
      </c>
      <c r="AH76" s="78">
        <v>2552873310</v>
      </c>
      <c r="AI76" s="78">
        <v>5105746620</v>
      </c>
      <c r="AJ76" s="78">
        <v>2552873310</v>
      </c>
      <c r="AK76" s="98">
        <v>128991.75</v>
      </c>
      <c r="AL76" s="98">
        <v>72998.25</v>
      </c>
      <c r="AM76" s="98">
        <v>341021.25</v>
      </c>
      <c r="AN76" s="101">
        <v>0.37825135530410497</v>
      </c>
      <c r="AO76" s="102">
        <v>500173013</v>
      </c>
      <c r="AP76" s="103">
        <v>26503313</v>
      </c>
      <c r="AQ76" s="103">
        <v>1053352652</v>
      </c>
      <c r="AR76" s="160">
        <v>526676326</v>
      </c>
      <c r="AS76" s="104">
        <v>110820.5</v>
      </c>
      <c r="AT76" s="105">
        <v>14153.5</v>
      </c>
      <c r="AU76" s="106">
        <v>23381274</v>
      </c>
      <c r="AV76" s="103">
        <v>11690637</v>
      </c>
      <c r="AW76" s="106">
        <v>6082.25</v>
      </c>
      <c r="AX76" s="115">
        <v>17739761</v>
      </c>
      <c r="AY76" s="103">
        <v>167959283</v>
      </c>
      <c r="AZ76" s="103">
        <v>177434647</v>
      </c>
      <c r="BA76" s="103">
        <v>726267382</v>
      </c>
      <c r="BB76" s="103">
        <v>363133691</v>
      </c>
      <c r="BC76" s="102">
        <v>356370230</v>
      </c>
      <c r="BD76" s="103">
        <v>475160306.66666663</v>
      </c>
      <c r="BE76" s="103">
        <v>356370230</v>
      </c>
      <c r="BF76" s="115">
        <v>-7868</v>
      </c>
      <c r="BG76" s="103">
        <v>-4997</v>
      </c>
      <c r="BH76" s="131">
        <v>-7868</v>
      </c>
      <c r="BI76" s="103">
        <v>-4997</v>
      </c>
      <c r="BJ76" s="114">
        <v>9731072276</v>
      </c>
      <c r="BK76" s="107">
        <v>5146639952</v>
      </c>
      <c r="BL76" s="222">
        <v>239812.25</v>
      </c>
    </row>
    <row r="77" spans="1:64" ht="24.95" customHeight="1" thickBot="1" x14ac:dyDescent="0.25">
      <c r="A77" s="134" t="s">
        <v>106</v>
      </c>
      <c r="B77" s="227">
        <v>0.2063528714047751</v>
      </c>
      <c r="C77" s="117">
        <v>0.22240217261656231</v>
      </c>
      <c r="D77" s="116">
        <v>3.0299070918132803E-2</v>
      </c>
      <c r="E77" s="113">
        <v>3.5599089835068376E-2</v>
      </c>
      <c r="F77" s="113">
        <v>3.0454677716340909E-3</v>
      </c>
      <c r="G77" s="132">
        <v>3.3800839309227047E-3</v>
      </c>
      <c r="H77" s="168">
        <v>4.1260817781639506E-5</v>
      </c>
      <c r="I77" s="172">
        <v>4.7584443886507179E-5</v>
      </c>
      <c r="J77" s="125">
        <v>-8.2101949028828687E-5</v>
      </c>
      <c r="K77" s="173">
        <v>-9.8796885879379653E-5</v>
      </c>
      <c r="L77" s="181"/>
      <c r="M77" s="116">
        <v>0.23965656896329479</v>
      </c>
      <c r="N77" s="113">
        <v>0.26133013394056054</v>
      </c>
      <c r="O77" s="117">
        <v>0.25700220655342243</v>
      </c>
      <c r="P77" s="125">
        <v>1.5022451365461424E-3</v>
      </c>
      <c r="Q77" s="183">
        <v>2.3630191957131103E-3</v>
      </c>
      <c r="R77" s="125">
        <v>4.5061837746440762E-5</v>
      </c>
      <c r="S77" s="183">
        <v>7.0958334642796093E-5</v>
      </c>
      <c r="T77" s="125">
        <v>1.5473069742925831E-3</v>
      </c>
      <c r="U77" s="122">
        <v>2.4339775303559063E-3</v>
      </c>
      <c r="V77" s="123">
        <v>0.24120387593758738</v>
      </c>
      <c r="W77" s="117">
        <v>0.25943618408377833</v>
      </c>
      <c r="X77" s="166"/>
      <c r="Y77" s="108"/>
      <c r="Z77" s="108"/>
      <c r="AA77" s="108"/>
      <c r="AB77" s="108"/>
      <c r="AC77" s="119"/>
      <c r="AD77" s="116">
        <v>0.2405692073949843</v>
      </c>
      <c r="AE77" s="113">
        <v>3.8631898647337126E-2</v>
      </c>
      <c r="AF77" s="113">
        <v>0.18834507873885947</v>
      </c>
      <c r="AG77" s="113">
        <v>2.848099679928805E-2</v>
      </c>
      <c r="AH77" s="113">
        <v>0.49602718158046893</v>
      </c>
      <c r="AI77" s="113">
        <v>0.52468489342047508</v>
      </c>
      <c r="AJ77" s="113">
        <v>0.49602718158046893</v>
      </c>
      <c r="AK77" s="108"/>
      <c r="AL77" s="108"/>
      <c r="AM77" s="108"/>
      <c r="AN77" s="109"/>
      <c r="AO77" s="112">
        <v>9.7184380035294921E-2</v>
      </c>
      <c r="AP77" s="113">
        <v>5.1496341782565789E-3</v>
      </c>
      <c r="AQ77" s="113">
        <v>0.10824630853867065</v>
      </c>
      <c r="AR77" s="117">
        <v>0.1023340142135515</v>
      </c>
      <c r="AS77" s="108"/>
      <c r="AT77" s="118"/>
      <c r="AU77" s="116">
        <v>2.4027438433137376E-3</v>
      </c>
      <c r="AV77" s="113">
        <v>2.2715086170846249E-3</v>
      </c>
      <c r="AW77" s="130"/>
      <c r="AX77" s="116">
        <v>3.4468626454248609E-3</v>
      </c>
      <c r="AY77" s="113">
        <v>3.2634745108744298E-2</v>
      </c>
      <c r="AZ77" s="113">
        <v>3.4475822799892648E-2</v>
      </c>
      <c r="BA77" s="113">
        <v>7.4633849323184287E-2</v>
      </c>
      <c r="BB77" s="132">
        <v>7.0557430554061815E-2</v>
      </c>
      <c r="BC77" s="123">
        <v>6.9243279756050047E-2</v>
      </c>
      <c r="BD77" s="113">
        <v>4.8829182765250549E-2</v>
      </c>
      <c r="BE77" s="117">
        <v>6.9243279756050047E-2</v>
      </c>
      <c r="BF77" s="116">
        <v>-8.0854398948459727E-7</v>
      </c>
      <c r="BG77" s="113">
        <v>-9.7092472887250451E-7</v>
      </c>
      <c r="BH77" s="116">
        <v>-8.0854398948459727E-7</v>
      </c>
      <c r="BI77" s="117">
        <v>-9.7092472887250451E-7</v>
      </c>
      <c r="BJ77" s="116">
        <v>1</v>
      </c>
      <c r="BK77" s="111">
        <v>1</v>
      </c>
      <c r="BL77" s="223"/>
    </row>
    <row r="78" spans="1:64" ht="24.95" customHeight="1" thickBot="1" x14ac:dyDescent="0.25">
      <c r="A78" s="134" t="s">
        <v>110</v>
      </c>
      <c r="B78" s="113">
        <v>2.5487580900985692E-2</v>
      </c>
      <c r="C78" s="167">
        <v>-4.6489687277061563E-2</v>
      </c>
      <c r="D78" s="116">
        <v>0.42177609066207555</v>
      </c>
      <c r="E78" s="116">
        <v>0.32722286841329418</v>
      </c>
      <c r="F78" s="116">
        <v>-0.78882678787235061</v>
      </c>
      <c r="G78" s="117">
        <v>-0.8076933111100455</v>
      </c>
      <c r="H78" s="116">
        <v>9.28819029855436E-3</v>
      </c>
      <c r="I78" s="167">
        <v>-0.156244616709733</v>
      </c>
      <c r="J78" s="116">
        <v>0.13402998379024406</v>
      </c>
      <c r="K78" s="167">
        <v>9.9867402980296477E-2</v>
      </c>
      <c r="L78" s="147">
        <v>-0.28572535807153565</v>
      </c>
      <c r="M78" s="123">
        <v>1.1529196266374568E-2</v>
      </c>
      <c r="N78" s="116">
        <v>-5.8646429183033796E-2</v>
      </c>
      <c r="O78" s="147">
        <v>-5.3579570111484211E-2</v>
      </c>
      <c r="P78" s="123">
        <v>-0.42339102398741579</v>
      </c>
      <c r="Q78" s="147">
        <v>-0.43431395710294873</v>
      </c>
      <c r="R78" s="123">
        <v>-0.18515173645372832</v>
      </c>
      <c r="S78" s="117">
        <v>-0.21881490766667167</v>
      </c>
      <c r="T78" s="116">
        <v>-0.41843921173389703</v>
      </c>
      <c r="U78" s="117">
        <v>-0.42972767720529731</v>
      </c>
      <c r="V78" s="116">
        <v>6.7543745923029962E-3</v>
      </c>
      <c r="W78" s="117">
        <v>-5.9400166700960828E-2</v>
      </c>
      <c r="X78" s="116">
        <v>-8.1146451922171903E-2</v>
      </c>
      <c r="Y78" s="116">
        <v>0.18416656723541344</v>
      </c>
      <c r="Z78" s="116">
        <v>-0.23854009975457208</v>
      </c>
      <c r="AA78" s="116">
        <v>-9.0909090909090912E-2</v>
      </c>
      <c r="AB78" s="116">
        <v>-7.609039873326616E-2</v>
      </c>
      <c r="AC78" s="117">
        <v>-8.0439411844424047E-2</v>
      </c>
      <c r="AD78" s="116">
        <v>0.10968002670775502</v>
      </c>
      <c r="AE78" s="116">
        <v>9.8523500940055728E-2</v>
      </c>
      <c r="AF78" s="116">
        <v>-4.8448356577122507E-2</v>
      </c>
      <c r="AG78" s="116">
        <v>0.10298003353303362</v>
      </c>
      <c r="AH78" s="116">
        <v>4.2697841890083216E-2</v>
      </c>
      <c r="AI78" s="116">
        <v>4.4597108233225879E-2</v>
      </c>
      <c r="AJ78" s="116">
        <v>4.4597108233225879E-2</v>
      </c>
      <c r="AK78" s="116">
        <v>-6.6376549353116807E-2</v>
      </c>
      <c r="AL78" s="116">
        <v>0.21230351493411057</v>
      </c>
      <c r="AM78" s="116">
        <v>4.7294470502274493E-3</v>
      </c>
      <c r="AN78" s="147">
        <v>-7.0771287347159387E-2</v>
      </c>
      <c r="AO78" s="123">
        <v>-4.9111251558649587E-2</v>
      </c>
      <c r="AP78" s="116">
        <v>0.47565583589016747</v>
      </c>
      <c r="AQ78" s="116">
        <v>-3.1784794105737958E-2</v>
      </c>
      <c r="AR78" s="147">
        <v>-3.1784794105737958E-2</v>
      </c>
      <c r="AS78" s="123">
        <v>-5.5526555205894196E-2</v>
      </c>
      <c r="AT78" s="147">
        <v>-0.2083065305551671</v>
      </c>
      <c r="AU78" s="123">
        <v>0.15617946725282794</v>
      </c>
      <c r="AV78" s="116">
        <v>0.15617946725282794</v>
      </c>
      <c r="AW78" s="117">
        <v>0.53854423575539112</v>
      </c>
      <c r="AX78" s="116">
        <v>6.277464243052526E-2</v>
      </c>
      <c r="AY78" s="116">
        <v>-3.2032367601881308E-2</v>
      </c>
      <c r="AZ78" s="116">
        <v>0.39506297133444362</v>
      </c>
      <c r="BA78" s="116">
        <v>0.14409952272287638</v>
      </c>
      <c r="BB78" s="147">
        <v>0.14409952272287638</v>
      </c>
      <c r="BC78" s="123">
        <v>0.11965086570757145</v>
      </c>
      <c r="BD78" s="116">
        <v>0.11965086570757157</v>
      </c>
      <c r="BE78" s="147">
        <v>0.11965086570757145</v>
      </c>
      <c r="BF78" s="123">
        <v>-0.63285114325711622</v>
      </c>
      <c r="BG78" s="116">
        <v>-0.63165266106442575</v>
      </c>
      <c r="BH78" s="116">
        <v>-0.95830639605744261</v>
      </c>
      <c r="BI78" s="147">
        <v>-0.94859370820731226</v>
      </c>
      <c r="BJ78" s="123">
        <v>3.6727736254378633E-2</v>
      </c>
      <c r="BK78" s="147">
        <v>1.8512737710430903E-2</v>
      </c>
      <c r="BL78" s="224">
        <v>-6.1393766884900385E-2</v>
      </c>
    </row>
    <row r="79" spans="1:64" ht="25.35" customHeight="1" x14ac:dyDescent="0.2">
      <c r="A79" s="290" t="s">
        <v>35</v>
      </c>
      <c r="B79" s="290"/>
      <c r="C79" s="290"/>
      <c r="D79" s="290"/>
      <c r="E79" s="290"/>
      <c r="F79" s="290"/>
      <c r="G79" s="290"/>
      <c r="H79" s="290"/>
      <c r="I79" s="290"/>
      <c r="J79" s="290"/>
      <c r="K79" s="290"/>
      <c r="L79" s="95"/>
      <c r="M79" s="95"/>
      <c r="N79" s="95"/>
      <c r="O79" s="95"/>
      <c r="P79" s="95"/>
      <c r="Q79" s="95"/>
      <c r="R79" s="95"/>
      <c r="S79" s="95"/>
      <c r="T79" s="95"/>
      <c r="U79" s="95"/>
      <c r="V79" s="95"/>
      <c r="W79" s="95"/>
      <c r="X79" s="95"/>
      <c r="Y79" s="95"/>
      <c r="Z79" s="95"/>
      <c r="AA79" s="95"/>
      <c r="AB79" s="95"/>
      <c r="AC79" s="95"/>
      <c r="AD79" s="96"/>
      <c r="AE79" s="96"/>
      <c r="AF79" s="96"/>
      <c r="AG79" s="96"/>
      <c r="AH79" s="96"/>
      <c r="AI79" s="47"/>
      <c r="AJ79" s="47"/>
      <c r="AK79" s="47"/>
      <c r="AL79" s="47"/>
      <c r="AM79" s="47"/>
      <c r="AN79" s="5"/>
      <c r="AO79" s="14"/>
      <c r="AP79" s="14"/>
      <c r="AQ79" s="14"/>
      <c r="AR79" s="14"/>
      <c r="AS79" s="69"/>
      <c r="AT79" s="14"/>
      <c r="AU79" s="14"/>
      <c r="AV79" s="5"/>
      <c r="AW79" s="14"/>
      <c r="AX79" s="14"/>
      <c r="AY79" s="14"/>
      <c r="AZ79" s="14"/>
      <c r="BA79" s="14"/>
      <c r="BB79" s="13"/>
      <c r="BC79" s="14"/>
      <c r="BD79" s="14"/>
      <c r="BE79" s="14"/>
      <c r="BF79" s="13"/>
      <c r="BG79" s="14"/>
      <c r="BH79" s="14"/>
      <c r="BI79" s="129"/>
      <c r="BJ79" s="185"/>
      <c r="BK79" s="13"/>
      <c r="BL79" s="13"/>
    </row>
    <row r="80" spans="1:64" ht="19.350000000000001" customHeight="1" x14ac:dyDescent="0.2">
      <c r="A80" s="290" t="s">
        <v>105</v>
      </c>
      <c r="B80" s="290"/>
      <c r="C80" s="290"/>
      <c r="D80" s="290"/>
      <c r="E80" s="290"/>
      <c r="F80" s="290"/>
      <c r="G80" s="290"/>
      <c r="H80" s="290"/>
      <c r="I80" s="290"/>
      <c r="J80" s="290"/>
      <c r="K80" s="290"/>
      <c r="L80" s="95"/>
      <c r="M80" s="95"/>
      <c r="N80" s="95"/>
      <c r="O80" s="95"/>
      <c r="P80" s="95"/>
      <c r="Q80" s="95"/>
      <c r="R80" s="95"/>
      <c r="S80" s="95"/>
      <c r="T80" s="95"/>
      <c r="U80" s="95"/>
      <c r="V80" s="95"/>
      <c r="W80" s="95"/>
      <c r="X80" s="95"/>
      <c r="Y80" s="95"/>
      <c r="Z80" s="95"/>
      <c r="AA80" s="95"/>
      <c r="AB80" s="95"/>
      <c r="AC80" s="95"/>
      <c r="AD80" s="96"/>
      <c r="AE80" s="96"/>
      <c r="AF80" s="96"/>
      <c r="AG80" s="96"/>
      <c r="AH80" s="96"/>
      <c r="AI80" s="68"/>
      <c r="AJ80" s="47"/>
      <c r="AK80" s="47"/>
      <c r="AL80" s="47"/>
      <c r="AM80" s="47"/>
      <c r="AN80" s="5"/>
      <c r="AO80" s="14"/>
      <c r="AP80" s="14"/>
      <c r="AQ80" s="14"/>
      <c r="AR80" s="14"/>
      <c r="AS80" s="68"/>
      <c r="AT80" s="68"/>
      <c r="AU80" s="14"/>
      <c r="AV80" s="5"/>
      <c r="AW80" s="14"/>
      <c r="AX80" s="14"/>
      <c r="AY80" s="14"/>
      <c r="AZ80" s="14"/>
      <c r="BA80" s="14"/>
      <c r="BB80" s="13"/>
      <c r="BC80" s="14"/>
      <c r="BD80" s="68"/>
      <c r="BI80" s="40"/>
      <c r="BJ80" s="63"/>
      <c r="BK80" s="64"/>
      <c r="BL80" s="64"/>
    </row>
    <row r="81" spans="1:64" ht="18" customHeight="1" x14ac:dyDescent="0.2">
      <c r="A81" s="291" t="s">
        <v>34</v>
      </c>
      <c r="B81" s="290"/>
      <c r="C81" s="290"/>
      <c r="D81" s="290"/>
      <c r="E81" s="290"/>
      <c r="F81" s="290"/>
      <c r="G81" s="290"/>
      <c r="H81" s="290"/>
      <c r="I81" s="290"/>
      <c r="J81" s="290"/>
      <c r="K81" s="290"/>
      <c r="L81" s="95"/>
      <c r="M81" s="95"/>
      <c r="N81" s="95"/>
      <c r="O81" s="95"/>
      <c r="P81" s="95"/>
      <c r="Q81" s="95"/>
      <c r="R81" s="95"/>
      <c r="S81" s="95"/>
      <c r="T81" s="95"/>
      <c r="U81" s="95"/>
      <c r="V81" s="95"/>
      <c r="W81" s="95"/>
      <c r="X81" s="95"/>
      <c r="Y81" s="95"/>
      <c r="Z81" s="95"/>
      <c r="AA81" s="95"/>
      <c r="AB81" s="95"/>
      <c r="AC81" s="95"/>
      <c r="AD81" s="95"/>
      <c r="AE81" s="95"/>
      <c r="AF81" s="95"/>
      <c r="AG81" s="95"/>
      <c r="AH81" s="95"/>
      <c r="AI81" s="47"/>
      <c r="AJ81" s="47"/>
      <c r="AK81" s="47"/>
      <c r="AL81" s="47"/>
      <c r="AM81" s="47"/>
      <c r="AS81" s="30"/>
      <c r="AV81" s="9"/>
      <c r="AW81" s="9"/>
      <c r="AX81" s="9"/>
      <c r="AY81" s="9"/>
      <c r="AZ81" s="9"/>
      <c r="BA81" s="9"/>
      <c r="BB81" s="9"/>
      <c r="BC81" s="9"/>
      <c r="BD81" s="9"/>
    </row>
    <row r="82" spans="1:64" ht="36.75" customHeight="1" x14ac:dyDescent="0.2">
      <c r="A82" s="290" t="s">
        <v>109</v>
      </c>
      <c r="B82" s="290"/>
      <c r="C82" s="290"/>
      <c r="D82" s="290"/>
      <c r="E82" s="290"/>
      <c r="F82" s="290"/>
      <c r="G82" s="290"/>
      <c r="H82" s="290"/>
      <c r="I82" s="290"/>
      <c r="J82" s="290"/>
      <c r="K82" s="290"/>
      <c r="L82" s="95"/>
      <c r="M82" s="95"/>
      <c r="N82" s="95"/>
      <c r="O82" s="95"/>
      <c r="P82" s="95"/>
      <c r="Q82" s="95"/>
      <c r="R82" s="95"/>
      <c r="S82" s="95"/>
      <c r="T82" s="95"/>
      <c r="U82" s="95"/>
      <c r="V82" s="95"/>
      <c r="W82" s="95"/>
      <c r="X82" s="95"/>
      <c r="Y82" s="95"/>
      <c r="Z82" s="95"/>
      <c r="AA82" s="95"/>
      <c r="AB82" s="95"/>
      <c r="AC82" s="95"/>
      <c r="AD82" s="95"/>
      <c r="AE82" s="95"/>
      <c r="AF82" s="95"/>
      <c r="AG82" s="95"/>
      <c r="AH82" s="95"/>
      <c r="AI82" s="47"/>
      <c r="AJ82" s="47"/>
      <c r="AK82" s="47"/>
      <c r="AL82" s="47"/>
      <c r="AM82" s="47"/>
      <c r="AS82" s="68"/>
    </row>
    <row r="83" spans="1:64" ht="35.65" customHeight="1" x14ac:dyDescent="0.2">
      <c r="A83" s="27" t="s">
        <v>151</v>
      </c>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K83" s="47"/>
      <c r="AL83" s="47"/>
      <c r="AM83" s="47"/>
    </row>
    <row r="84" spans="1:64" ht="51.95" customHeight="1" x14ac:dyDescent="0.2">
      <c r="A84" s="11" t="s">
        <v>150</v>
      </c>
      <c r="J84" s="47"/>
      <c r="K84" s="47"/>
      <c r="AE84" s="8"/>
      <c r="AF84" s="8"/>
      <c r="AG84" s="8"/>
      <c r="AI84" s="47"/>
      <c r="AJ84" s="47"/>
      <c r="AK84" s="47"/>
      <c r="AL84" s="47"/>
      <c r="AM84" s="47"/>
    </row>
    <row r="85" spans="1:64" ht="36" customHeight="1" x14ac:dyDescent="0.2">
      <c r="A85" s="10" t="s">
        <v>152</v>
      </c>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O85" s="46"/>
      <c r="AP85" s="46"/>
      <c r="AQ85" s="46"/>
      <c r="AR85" s="46"/>
      <c r="AS85" s="46"/>
      <c r="AY85" s="46"/>
      <c r="AZ85" s="46"/>
      <c r="BA85" s="46"/>
      <c r="BC85" s="46"/>
      <c r="BD85" s="46"/>
    </row>
    <row r="86" spans="1:64" ht="38.65" customHeight="1" x14ac:dyDescent="0.2">
      <c r="A86" s="12" t="s">
        <v>153</v>
      </c>
    </row>
    <row r="87" spans="1:64" x14ac:dyDescent="0.2">
      <c r="B87" s="74"/>
      <c r="C87" s="74"/>
      <c r="D87" s="74"/>
      <c r="E87" s="74"/>
      <c r="F87" s="74"/>
      <c r="G87" s="74"/>
      <c r="H87" s="74"/>
      <c r="I87" s="74"/>
      <c r="BH87" s="54"/>
      <c r="BI87" s="25" t="s">
        <v>37</v>
      </c>
      <c r="BJ87" s="51"/>
      <c r="BK87" s="53"/>
      <c r="BL87" s="52"/>
    </row>
    <row r="88" spans="1:64" ht="25.5" x14ac:dyDescent="0.2">
      <c r="B88" s="75"/>
      <c r="C88" s="75"/>
      <c r="D88" s="75"/>
      <c r="E88" s="75"/>
      <c r="F88" s="75"/>
      <c r="G88" s="75"/>
      <c r="H88" s="71"/>
      <c r="I88" s="71"/>
      <c r="BH88" s="44"/>
      <c r="BI88" s="133" t="s">
        <v>39</v>
      </c>
      <c r="BJ88" s="92">
        <v>3067814</v>
      </c>
      <c r="BK88" s="137">
        <v>1636455</v>
      </c>
      <c r="BL88" s="92"/>
    </row>
    <row r="89" spans="1:64" x14ac:dyDescent="0.2">
      <c r="A89" s="70"/>
      <c r="B89" s="75"/>
      <c r="C89" s="75"/>
      <c r="D89" s="75"/>
      <c r="E89" s="75"/>
      <c r="F89" s="75"/>
      <c r="G89" s="75"/>
      <c r="H89" s="71"/>
      <c r="I89" s="71"/>
      <c r="W89" s="8"/>
      <c r="X89" s="8"/>
      <c r="Y89" s="8"/>
      <c r="Z89" s="8"/>
      <c r="AA89" s="8"/>
      <c r="AH89" s="8"/>
      <c r="AI89" s="8"/>
      <c r="AJ89" s="8"/>
      <c r="AK89" s="8"/>
      <c r="AL89" s="8"/>
      <c r="AM89" s="8"/>
      <c r="BH89" s="44"/>
    </row>
    <row r="90" spans="1:64" x14ac:dyDescent="0.2">
      <c r="A90" s="70"/>
      <c r="B90" s="75"/>
      <c r="C90" s="75"/>
      <c r="D90" s="75"/>
      <c r="E90" s="75"/>
      <c r="F90" s="75"/>
      <c r="G90" s="75"/>
      <c r="H90" s="71"/>
      <c r="I90" s="71"/>
      <c r="BH90" s="44"/>
    </row>
    <row r="91" spans="1:64" x14ac:dyDescent="0.2">
      <c r="A91" s="70"/>
      <c r="B91" s="75"/>
      <c r="C91" s="75"/>
      <c r="D91" s="75"/>
      <c r="E91" s="75"/>
      <c r="F91" s="75"/>
      <c r="G91" s="75"/>
      <c r="H91" s="71"/>
      <c r="I91" s="71"/>
      <c r="BH91" s="44"/>
    </row>
    <row r="92" spans="1:64" x14ac:dyDescent="0.2">
      <c r="A92" s="70"/>
      <c r="B92" s="71"/>
      <c r="C92" s="71"/>
      <c r="D92" s="71"/>
      <c r="E92" s="71"/>
      <c r="F92" s="71"/>
      <c r="G92" s="71"/>
      <c r="H92" s="71"/>
      <c r="I92" s="71"/>
    </row>
    <row r="93" spans="1:64" x14ac:dyDescent="0.2">
      <c r="B93" s="75"/>
      <c r="C93" s="75"/>
      <c r="D93" s="75"/>
      <c r="E93" s="75"/>
      <c r="F93" s="75"/>
      <c r="G93" s="75"/>
    </row>
    <row r="94" spans="1:64" ht="26.85" customHeight="1" x14ac:dyDescent="0.2">
      <c r="A94" s="70"/>
      <c r="B94" s="76"/>
      <c r="C94" s="76"/>
      <c r="D94" s="76"/>
      <c r="E94" s="76"/>
      <c r="F94" s="76"/>
      <c r="G94" s="76"/>
    </row>
    <row r="95" spans="1:64" x14ac:dyDescent="0.2">
      <c r="A95" s="70"/>
      <c r="B95" s="75"/>
      <c r="C95" s="75"/>
      <c r="D95" s="75"/>
      <c r="E95" s="75"/>
      <c r="F95" s="75"/>
      <c r="G95" s="75"/>
      <c r="H95" s="71"/>
      <c r="I95" s="71"/>
      <c r="J95" s="71"/>
    </row>
    <row r="96" spans="1:64" x14ac:dyDescent="0.2">
      <c r="A96" s="70"/>
      <c r="B96" s="75"/>
      <c r="C96" s="75"/>
      <c r="D96" s="75"/>
      <c r="E96" s="75"/>
      <c r="F96" s="75"/>
      <c r="G96" s="75"/>
      <c r="H96" s="71"/>
      <c r="I96" s="71"/>
      <c r="J96" s="71"/>
    </row>
    <row r="97" spans="1:10" x14ac:dyDescent="0.2">
      <c r="A97" s="70"/>
      <c r="B97" s="75"/>
      <c r="C97" s="75"/>
      <c r="D97" s="75"/>
      <c r="E97" s="75"/>
      <c r="F97" s="75"/>
      <c r="G97" s="75"/>
      <c r="H97" s="71"/>
      <c r="I97" s="71"/>
      <c r="J97" s="71"/>
    </row>
    <row r="98" spans="1:10" x14ac:dyDescent="0.2">
      <c r="A98" s="70"/>
      <c r="B98" s="75"/>
      <c r="C98" s="75"/>
      <c r="D98" s="75"/>
      <c r="E98" s="75"/>
      <c r="F98" s="75"/>
      <c r="G98" s="75"/>
      <c r="H98" s="71"/>
      <c r="I98" s="71"/>
      <c r="J98" s="71"/>
    </row>
    <row r="99" spans="1:10" x14ac:dyDescent="0.2">
      <c r="A99" s="70"/>
      <c r="B99" s="71"/>
      <c r="C99" s="71"/>
      <c r="D99" s="71"/>
      <c r="E99" s="71"/>
      <c r="F99" s="71"/>
      <c r="G99" s="71"/>
      <c r="H99" s="71"/>
      <c r="I99" s="71"/>
    </row>
    <row r="100" spans="1:10" x14ac:dyDescent="0.2">
      <c r="B100" s="75"/>
      <c r="C100" s="75"/>
      <c r="D100" s="75"/>
      <c r="E100" s="75"/>
      <c r="F100" s="75"/>
      <c r="G100" s="75"/>
    </row>
    <row r="101" spans="1:10" x14ac:dyDescent="0.2">
      <c r="A101" s="70"/>
      <c r="B101" s="75"/>
      <c r="C101" s="75"/>
      <c r="D101" s="75"/>
      <c r="E101" s="75"/>
      <c r="F101" s="75"/>
      <c r="G101" s="75"/>
      <c r="H101" s="75"/>
      <c r="I101" s="1"/>
    </row>
    <row r="102" spans="1:10" ht="15.95" customHeight="1" x14ac:dyDescent="0.2"/>
    <row r="103" spans="1:10" x14ac:dyDescent="0.2">
      <c r="B103" s="75"/>
      <c r="C103" s="75"/>
      <c r="D103" s="75"/>
      <c r="E103" s="75"/>
      <c r="F103" s="75"/>
      <c r="G103" s="75"/>
    </row>
    <row r="104" spans="1:10" ht="12" customHeight="1" x14ac:dyDescent="0.2">
      <c r="B104" s="273"/>
      <c r="C104" s="273"/>
    </row>
    <row r="105" spans="1:10" x14ac:dyDescent="0.2">
      <c r="B105" s="70"/>
      <c r="C105" s="1"/>
      <c r="E105" s="75"/>
    </row>
    <row r="106" spans="1:10" x14ac:dyDescent="0.2">
      <c r="B106" s="70"/>
      <c r="C106" s="1"/>
      <c r="E106" s="3"/>
    </row>
    <row r="107" spans="1:10" x14ac:dyDescent="0.2">
      <c r="B107" s="70"/>
      <c r="C107" s="1"/>
    </row>
    <row r="108" spans="1:10" x14ac:dyDescent="0.2">
      <c r="B108" s="70"/>
      <c r="C108" s="1"/>
    </row>
    <row r="109" spans="1:10" x14ac:dyDescent="0.2">
      <c r="B109" s="70"/>
      <c r="C109" s="1"/>
    </row>
    <row r="110" spans="1:10" x14ac:dyDescent="0.2">
      <c r="B110" s="70"/>
      <c r="C110" s="1"/>
    </row>
    <row r="111" spans="1:10" x14ac:dyDescent="0.2">
      <c r="B111" s="70"/>
      <c r="C111" s="1"/>
    </row>
    <row r="112" spans="1:10" x14ac:dyDescent="0.2">
      <c r="B112" s="70"/>
      <c r="C112" s="1"/>
      <c r="D112" s="73"/>
      <c r="E112" s="73"/>
      <c r="F112" s="70"/>
      <c r="G112" s="70"/>
      <c r="I112" s="75"/>
    </row>
    <row r="113" spans="1:10" x14ac:dyDescent="0.2">
      <c r="B113" s="70"/>
      <c r="C113" s="1"/>
      <c r="I113" s="75"/>
    </row>
    <row r="114" spans="1:10" x14ac:dyDescent="0.2">
      <c r="B114" s="70"/>
      <c r="C114" s="1"/>
      <c r="I114" s="72"/>
    </row>
    <row r="115" spans="1:10" x14ac:dyDescent="0.2">
      <c r="B115" s="70"/>
      <c r="C115" s="1"/>
      <c r="D115" s="72"/>
    </row>
    <row r="116" spans="1:10" x14ac:dyDescent="0.2">
      <c r="B116" s="70"/>
      <c r="C116" s="1"/>
    </row>
    <row r="117" spans="1:10" x14ac:dyDescent="0.2">
      <c r="A117" s="1"/>
      <c r="B117" s="70"/>
      <c r="C117" s="1"/>
    </row>
    <row r="118" spans="1:10" x14ac:dyDescent="0.2">
      <c r="A118" s="70"/>
      <c r="B118" s="75"/>
      <c r="C118" s="1"/>
      <c r="D118" s="75"/>
      <c r="E118" s="75"/>
      <c r="F118" s="75"/>
      <c r="G118" s="75"/>
      <c r="H118" s="75"/>
    </row>
    <row r="119" spans="1:10" x14ac:dyDescent="0.2">
      <c r="A119" s="70"/>
      <c r="B119" s="75"/>
      <c r="C119" s="1"/>
      <c r="D119" s="75"/>
      <c r="E119" s="75"/>
      <c r="F119" s="75"/>
      <c r="G119" s="75"/>
      <c r="H119" s="75"/>
    </row>
    <row r="120" spans="1:10" x14ac:dyDescent="0.2">
      <c r="A120" s="70"/>
      <c r="B120" s="75"/>
      <c r="C120" s="1"/>
      <c r="D120" s="75"/>
      <c r="E120" s="75"/>
      <c r="F120" s="75"/>
      <c r="G120" s="75"/>
      <c r="H120" s="75"/>
    </row>
    <row r="121" spans="1:10" x14ac:dyDescent="0.2">
      <c r="A121" s="70"/>
      <c r="B121" s="75"/>
      <c r="C121" s="1"/>
      <c r="D121" s="75"/>
      <c r="E121" s="75"/>
      <c r="F121" s="75"/>
      <c r="G121" s="75"/>
      <c r="H121" s="75"/>
    </row>
    <row r="122" spans="1:10" x14ac:dyDescent="0.2">
      <c r="A122" s="70"/>
      <c r="B122" s="75"/>
      <c r="C122" s="1"/>
      <c r="D122" s="75"/>
      <c r="E122" s="75"/>
      <c r="F122" s="75"/>
      <c r="G122" s="75"/>
      <c r="H122" s="75"/>
    </row>
    <row r="123" spans="1:10" x14ac:dyDescent="0.2">
      <c r="A123" s="70"/>
      <c r="B123" s="75"/>
      <c r="C123" s="1"/>
      <c r="E123" s="75"/>
      <c r="F123" s="75"/>
      <c r="G123" s="75"/>
      <c r="H123" s="75"/>
    </row>
    <row r="124" spans="1:10" x14ac:dyDescent="0.2">
      <c r="A124" s="70"/>
      <c r="D124" s="75"/>
      <c r="E124" s="75"/>
      <c r="F124" s="75"/>
      <c r="G124" s="75"/>
      <c r="H124" s="75"/>
    </row>
    <row r="125" spans="1:10" x14ac:dyDescent="0.2">
      <c r="A125" s="70"/>
      <c r="B125" s="75"/>
      <c r="C125" s="75"/>
      <c r="D125" s="75"/>
      <c r="E125" s="75"/>
      <c r="G125" s="75"/>
      <c r="H125" s="75"/>
    </row>
    <row r="126" spans="1:10" x14ac:dyDescent="0.2">
      <c r="A126" s="70"/>
      <c r="B126" s="75"/>
      <c r="C126" s="75"/>
      <c r="D126" s="75"/>
      <c r="E126" s="75"/>
      <c r="G126" s="75"/>
      <c r="H126" s="75"/>
    </row>
    <row r="127" spans="1:10" x14ac:dyDescent="0.2">
      <c r="A127" s="70"/>
      <c r="B127" s="75"/>
      <c r="C127" s="75"/>
      <c r="D127" s="75"/>
      <c r="E127" s="75"/>
      <c r="F127" s="75"/>
      <c r="G127" s="75"/>
      <c r="H127" s="75"/>
      <c r="I127" s="70"/>
      <c r="J127" s="72"/>
    </row>
    <row r="128" spans="1:10" x14ac:dyDescent="0.2">
      <c r="A128" s="70"/>
      <c r="C128" s="72"/>
      <c r="D128" s="71"/>
      <c r="E128" s="71"/>
      <c r="F128" s="71"/>
      <c r="G128" s="71"/>
      <c r="H128" s="71"/>
    </row>
    <row r="129" spans="1:8" x14ac:dyDescent="0.2">
      <c r="C129" s="75"/>
    </row>
    <row r="130" spans="1:8" x14ac:dyDescent="0.2">
      <c r="C130" s="72"/>
    </row>
    <row r="132" spans="1:8" x14ac:dyDescent="0.2">
      <c r="A132" s="70"/>
      <c r="D132" s="73"/>
      <c r="E132" s="73"/>
      <c r="G132" s="73"/>
      <c r="H132" s="75"/>
    </row>
    <row r="133" spans="1:8" x14ac:dyDescent="0.2">
      <c r="C133" s="75"/>
      <c r="D133" s="75"/>
    </row>
    <row r="135" spans="1:8" x14ac:dyDescent="0.2">
      <c r="C135" s="71"/>
    </row>
    <row r="137" spans="1:8" x14ac:dyDescent="0.2">
      <c r="C137" s="3"/>
    </row>
  </sheetData>
  <mergeCells count="46">
    <mergeCell ref="AB2:AD2"/>
    <mergeCell ref="BJ4:BL4"/>
    <mergeCell ref="BJ5:BL5"/>
    <mergeCell ref="AX4:BB4"/>
    <mergeCell ref="AU4:AW4"/>
    <mergeCell ref="BH5:BI5"/>
    <mergeCell ref="AD4:AN4"/>
    <mergeCell ref="AD5:AH5"/>
    <mergeCell ref="AK5:AN5"/>
    <mergeCell ref="AO4:AT4"/>
    <mergeCell ref="AQ5:AR5"/>
    <mergeCell ref="BA5:BB5"/>
    <mergeCell ref="BD5:BE5"/>
    <mergeCell ref="BF5:BG5"/>
    <mergeCell ref="AX5:AZ5"/>
    <mergeCell ref="AS5:AT5"/>
    <mergeCell ref="B1:J1"/>
    <mergeCell ref="M1:U1"/>
    <mergeCell ref="BE1:BI1"/>
    <mergeCell ref="X1:AG1"/>
    <mergeCell ref="AI1:AP1"/>
    <mergeCell ref="AS1:BB1"/>
    <mergeCell ref="B104:C104"/>
    <mergeCell ref="AO5:AP5"/>
    <mergeCell ref="V5:W5"/>
    <mergeCell ref="P5:Q5"/>
    <mergeCell ref="B5:C5"/>
    <mergeCell ref="D5:G5"/>
    <mergeCell ref="H5:I5"/>
    <mergeCell ref="J5:K5"/>
    <mergeCell ref="M5:O5"/>
    <mergeCell ref="AI5:AJ5"/>
    <mergeCell ref="X5:AC5"/>
    <mergeCell ref="T5:U5"/>
    <mergeCell ref="A79:K79"/>
    <mergeCell ref="A80:K80"/>
    <mergeCell ref="A81:K81"/>
    <mergeCell ref="A82:K82"/>
    <mergeCell ref="A4:A5"/>
    <mergeCell ref="B4:O4"/>
    <mergeCell ref="R5:S5"/>
    <mergeCell ref="BF4:BI4"/>
    <mergeCell ref="BC4:BE4"/>
    <mergeCell ref="AU5:AV5"/>
    <mergeCell ref="P4:U4"/>
    <mergeCell ref="V4:AC4"/>
  </mergeCells>
  <printOptions horizontalCentered="1"/>
  <pageMargins left="0.7" right="0.7" top="0.75" bottom="0.75" header="0.3" footer="0.3"/>
  <pageSetup scale="58" orientation="portrait" r:id="rId1"/>
  <headerFooter>
    <oddFooter>&amp;L&amp;"-,Regular"Data as of May 15, 2017&amp;C&amp;"-,Regular"&amp;P/&amp;N&amp;R&amp;"-,Regular"FY 2016 Expenditures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BF48966BA6F44FB0EA32DA550EA3D9" ma:contentTypeVersion="18" ma:contentTypeDescription="Create a new document." ma:contentTypeScope="" ma:versionID="94e7796a47ec5eea62a2122d9fefe55e">
  <xsd:schema xmlns:xsd="http://www.w3.org/2001/XMLSchema" xmlns:xs="http://www.w3.org/2001/XMLSchema" xmlns:p="http://schemas.microsoft.com/office/2006/metadata/properties" xmlns:ns2="3dd54bf2-711b-4d92-bf88-c5a7b9cb67e9" xmlns:ns3="51267e34-b667-4734-b64f-8a245e2e831d" xmlns:ns4="fa6a9aea-fb0f-4ddd-aff8-712634b7d5fe" targetNamespace="http://schemas.microsoft.com/office/2006/metadata/properties" ma:root="true" ma:fieldsID="144bfbb22aafab30445e557130a00ff4" ns2:_="" ns3:_="" ns4:_="">
    <xsd:import namespace="3dd54bf2-711b-4d92-bf88-c5a7b9cb67e9"/>
    <xsd:import namespace="51267e34-b667-4734-b64f-8a245e2e831d"/>
    <xsd:import namespace="fa6a9aea-fb0f-4ddd-aff8-712634b7d5f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54bf2-711b-4d92-bf88-c5a7b9cb6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856f2ee-118d-42e8-91de-064c9a66b6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267e34-b667-4734-b64f-8a245e2e831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a6a9aea-fb0f-4ddd-aff8-712634b7d5f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a4dda74-dcce-484b-a028-b22a5979edff}" ma:internalName="TaxCatchAll" ma:showField="CatchAllData" ma:web="51267e34-b667-4734-b64f-8a245e2e83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6a9aea-fb0f-4ddd-aff8-712634b7d5fe" xsi:nil="true"/>
    <lcf76f155ced4ddcb4097134ff3c332f xmlns="3dd54bf2-711b-4d92-bf88-c5a7b9cb67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98F9BB-530A-495F-BDA4-1D23842FAD68}"/>
</file>

<file path=customXml/itemProps2.xml><?xml version="1.0" encoding="utf-8"?>
<ds:datastoreItem xmlns:ds="http://schemas.openxmlformats.org/officeDocument/2006/customXml" ds:itemID="{6F7419E9-62F2-481A-B576-FEACC6897A38}">
  <ds:schemaRefs>
    <ds:schemaRef ds:uri="http://schemas.microsoft.com/sharepoint/v3/contenttype/forms"/>
  </ds:schemaRefs>
</ds:datastoreItem>
</file>

<file path=customXml/itemProps3.xml><?xml version="1.0" encoding="utf-8"?>
<ds:datastoreItem xmlns:ds="http://schemas.openxmlformats.org/officeDocument/2006/customXml" ds:itemID="{E9692B45-5A9F-48AD-9977-5EB49886E5E6}">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microsoft.com/sharepoint/v3"/>
    <ds:schemaRef ds:uri="e301e7ed-3d1a-4b1f-91c2-122a52aaf74c"/>
    <ds:schemaRef ds:uri="http://purl.org/dc/elements/1.1/"/>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d58addea-5053-4a80-8499-ba4d944910df}" enabled="0" method="" siteId="{d58addea-5053-4a80-8499-ba4d944910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FY 2024 IV-E FC</vt:lpstr>
      <vt:lpstr>'FY 2024 IV-E FC'!Print_Area</vt:lpstr>
      <vt:lpstr>'FY 2024 IV-E FC'!Print_Titles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Weiland</dc:creator>
  <cp:lastModifiedBy>Olmstead-Dean, Stephanie (CNTR)</cp:lastModifiedBy>
  <cp:lastPrinted>2022-03-09T19:46:56Z</cp:lastPrinted>
  <dcterms:created xsi:type="dcterms:W3CDTF">2019-06-17T11:20:26Z</dcterms:created>
  <dcterms:modified xsi:type="dcterms:W3CDTF">2026-04-30T14:59:45Z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0x010100ADBF48966BA6F44FB0EA32DA550EA3D9</vt:lpwstr>
  </property>
</Properties>
</file>